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lbe\Downloads\Cursos\DIO - Criacao de Agentes\[Desafio] Organizador de Declaraca IR\"/>
    </mc:Choice>
  </mc:AlternateContent>
  <xr:revisionPtr revIDLastSave="0" documentId="13_ncr:1_{98155F35-E102-45A5-8306-C9149D0634DE}" xr6:coauthVersionLast="47" xr6:coauthVersionMax="47" xr10:uidLastSave="{00000000-0000-0000-0000-000000000000}"/>
  <bookViews>
    <workbookView xWindow="-120" yWindow="-120" windowWidth="20730" windowHeight="11040" tabRatio="0" xr2:uid="{3F8EE2D2-4843-47AA-8296-0BBEA9427C65}"/>
  </bookViews>
  <sheets>
    <sheet name="TITULAR" sheetId="1" r:id="rId1"/>
    <sheet name="INFORMES" sheetId="2" r:id="rId2"/>
    <sheet name="NOTAS" sheetId="3" r:id="rId3"/>
    <sheet name="DESPESAS" sheetId="6" r:id="rId4"/>
    <sheet name="Bancos" sheetId="5" state="hidden" r:id="rId5"/>
    <sheet name="DESP_DEDUTIVEIS" sheetId="7" r:id="rId6"/>
  </sheets>
  <definedNames>
    <definedName name="_xlnm._FilterDatabase" localSheetId="5" hidden="1">DESP_DEDUTIVEIS!$C$4:$D$11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<sst xmlns="http://schemas.openxmlformats.org/spreadsheetml/2006/main" count="130" uniqueCount="112">
  <si>
    <t>NOME</t>
  </si>
  <si>
    <t>CPF</t>
  </si>
  <si>
    <t>CONJUGÊ</t>
  </si>
  <si>
    <t>RUA ABREVIADA</t>
  </si>
  <si>
    <t>CEP</t>
  </si>
  <si>
    <t>TELEFONE</t>
  </si>
  <si>
    <t>CELULAR</t>
  </si>
  <si>
    <t>E-MAIL</t>
  </si>
  <si>
    <t>HOUVE ALTERAÇÃO DA ENTREGA ANTERIOR</t>
  </si>
  <si>
    <t>DEPENDENTE</t>
  </si>
  <si>
    <t>RESIDENTE DO EXTERIOR</t>
  </si>
  <si>
    <t>Preencha os dados da sua pessoa física abaixo</t>
  </si>
  <si>
    <t>1. DADOS DO TITULAR</t>
  </si>
  <si>
    <t>2. INFORMES DE RENDIMENTOS BANCÁRIOS</t>
  </si>
  <si>
    <t>Preencha com seus dados atuais de cada banco</t>
  </si>
  <si>
    <t>TOTAL</t>
  </si>
  <si>
    <t>1º Banco</t>
  </si>
  <si>
    <t>BANCO</t>
  </si>
  <si>
    <t>VALOR ATUAL</t>
  </si>
  <si>
    <t>3º Banco</t>
  </si>
  <si>
    <t>2º Banco</t>
  </si>
  <si>
    <t>3. NOTAS BANCÁRIAS OU EXTRATOS DE HOLERITES</t>
  </si>
  <si>
    <t>São todos os valores de entratada mês a mês de receitas</t>
  </si>
  <si>
    <t>ENTRADAS</t>
  </si>
  <si>
    <t>DATA</t>
  </si>
  <si>
    <t>CATEGORIA</t>
  </si>
  <si>
    <t>VALOR</t>
  </si>
  <si>
    <t>SIM</t>
  </si>
  <si>
    <t>NÃO</t>
  </si>
  <si>
    <t>FELIPE SKYWALKER NOBUNAGA</t>
  </si>
  <si>
    <t>MIA GOTH</t>
  </si>
  <si>
    <t>ENDEREÇO</t>
  </si>
  <si>
    <t>R. DOS IMIGRANTES, 180 - JD DAS NAÇÕES</t>
  </si>
  <si>
    <t xml:space="preserve">RUA DOS IMIGRANTES, 180 - JARDIM DAS NAÇÕES </t>
  </si>
  <si>
    <t>felipexyz@yahoo.com</t>
  </si>
  <si>
    <t>NASCIMENTO</t>
  </si>
  <si>
    <t>TÍTULO DE ELEITOR</t>
  </si>
  <si>
    <t>ANEXO 📎</t>
  </si>
  <si>
    <t>336 - C6 Bank</t>
  </si>
  <si>
    <t>topazao_2025.pdf</t>
  </si>
  <si>
    <t>HOLERITE</t>
  </si>
  <si>
    <t>Bancos</t>
  </si>
  <si>
    <t>001 -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</si>
  <si>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</si>
  <si>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</si>
  <si>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</si>
  <si>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</si>
  <si>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</si>
  <si>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</si>
  <si>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</si>
  <si>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</si>
  <si>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</si>
  <si>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</si>
  <si>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024 - Banco de Pernambuco</t>
  </si>
  <si>
    <t>241 - Banco Clássico</t>
  </si>
  <si>
    <t>250 - Banco de Crédito e Varejo (BCV)</t>
  </si>
  <si>
    <t>260 - Nubank</t>
  </si>
  <si>
    <t>029 - Banco do Estado do Rio de Janeiro</t>
  </si>
  <si>
    <t>290 - PagBank</t>
  </si>
  <si>
    <t>003 - Banco da Amazônia</t>
  </si>
  <si>
    <t>033 - Banco Santander</t>
  </si>
  <si>
    <t>341 - Itaú Unibanco</t>
  </si>
  <si>
    <t>37 - Banco do Estado do Pará</t>
  </si>
  <si>
    <t>376 - Banco JPMorgan S.A.</t>
  </si>
  <si>
    <t>380 - PicPay</t>
  </si>
  <si>
    <t>004 - Banco do Nordeste do Brasil</t>
  </si>
  <si>
    <t>041 - Banco do Estado do Rio Grande do Sul</t>
  </si>
  <si>
    <t>422 - Banco Safra</t>
  </si>
  <si>
    <t>044 -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</si>
  <si>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</si>
  <si>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</si>
  <si>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</si>
  <si>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</si>
  <si>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</si>
  <si>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062 - Hipercard Banco Múltiplo</t>
  </si>
  <si>
    <t>634 - Banco Triângulo</t>
  </si>
  <si>
    <t>065 - Banco Lemon</t>
  </si>
  <si>
    <t>654 - Banco AJ Renner</t>
  </si>
  <si>
    <t>655 - Banco Votorantim</t>
  </si>
  <si>
    <t>066 - Banco Morgan Stanley</t>
  </si>
  <si>
    <t>707 - Banco Daycoval</t>
  </si>
  <si>
    <t>072 - Banco Rural Mais</t>
  </si>
  <si>
    <t>734 - Banco Gerdau</t>
  </si>
  <si>
    <t>735 - Banco Neon</t>
  </si>
  <si>
    <t>074 - Banco J. Safra</t>
  </si>
  <si>
    <t>746 - Banco Modal</t>
  </si>
  <si>
    <t>748 - Banco Cooperativo Sicredi S.A.</t>
  </si>
  <si>
    <t>749 - Banco Simples</t>
  </si>
  <si>
    <t>077 - Banco Inter</t>
  </si>
  <si>
    <t>079 - Banco JBS</t>
  </si>
  <si>
    <t>082 - Banco Topázio</t>
  </si>
  <si>
    <t>São todos os valores de despesas detutíveis mês a mês</t>
  </si>
  <si>
    <t>4. DESPESAS, PAGAMENTOS E DOAÇÕES</t>
  </si>
  <si>
    <t>Categoria</t>
  </si>
  <si>
    <t>O que pode ser deduzido</t>
  </si>
  <si>
    <t>Dedução anual por dependente, como filhos, cônjuge, pais e outros casos previstos em lei</t>
  </si>
  <si>
    <t>Consultas e tratamentos com médicos, dentistas, psicólogos, fisioterapeutas, fonoaudiólogos e terapeutas ocupacionais; exames, hospitais, planos de saúde, próteses e aparelhos ortopédicos</t>
  </si>
  <si>
    <t>Ensino infantil, fundamental, médio, técnico, superior, graduação e pós-graduação do contribuinte ou dependentes</t>
  </si>
  <si>
    <t>Valores fixados por decisão judicial ou escritura pública</t>
  </si>
  <si>
    <t>Fundos da criança e do adolescente, fundos do idoso, projetos culturais, esportivos e outros incentivados</t>
  </si>
  <si>
    <t>FREELANCE</t>
  </si>
  <si>
    <t>DEPENDENTES</t>
  </si>
  <si>
    <t>SAÚDE</t>
  </si>
  <si>
    <t>EDUCAÇÃO</t>
  </si>
  <si>
    <t>PREVIDÊNCIA</t>
  </si>
  <si>
    <t>PENSÃO ALIMENTÍCIA</t>
  </si>
  <si>
    <t>LIVRO-CAIXA</t>
  </si>
  <si>
    <t>DOAÇÕES INCENTIVADAS</t>
  </si>
  <si>
    <r>
      <t xml:space="preserve">Contribuição ao INSS; previdência privada apenas no modelo </t>
    </r>
    <r>
      <rPr>
        <b/>
        <sz val="11"/>
        <color theme="1"/>
        <rFont val="Arial"/>
        <family val="2"/>
      </rPr>
      <t>PGBL.</t>
    </r>
  </si>
  <si>
    <t>Despesas necessárias à atividade profissional, quando o contribuinte é autorizado a escriturá-lo.</t>
  </si>
  <si>
    <t>TABELA DE DESPESAS DEDUTÍVEIS NA DECLARAÇÃO DO IMPOSTO DE RENDA</t>
  </si>
  <si>
    <t>SAÍDAS DEDUTÍVEIS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</si>
</sst>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00,000,000,0\-00"/>
    <numFmt numFmtId="165" formatCode="00000\-000"/>
    <numFmt numFmtId="166" formatCode="\(00\)\ 0000\-0000"/>
    <numFmt numFmtId="167" formatCode="\(00\)\ 00000\-0000"/>
    <numFmt numFmtId="168" formatCode="mmmm\-yyyy"/>
    <numFmt numFmtId="169" formatCode="&quot;R$&quot;\ #,##0.00"/>
  </numFmts>
  <fonts count="1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5"/>
      <color rgb="FF00B0F0"/>
      <name val="Verdana"/>
      <family val="2"/>
    </font>
    <font>
      <i/>
      <sz val="10"/>
      <color theme="1" tint="0.499984740745262"/>
      <name val="Verdana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Verdana"/>
      <family val="2"/>
    </font>
    <font>
      <b/>
      <sz val="11"/>
      <color theme="5" tint="-0.249977111117893"/>
      <name val="Verdana"/>
      <family val="2"/>
    </font>
    <font>
      <sz val="8"/>
      <name val="Aptos Narrow"/>
      <family val="2"/>
      <scheme val="minor"/>
    </font>
    <font>
      <i/>
      <sz val="11"/>
      <color theme="1"/>
      <name val="Verdana"/>
      <family val="2"/>
    </font>
    <font>
      <b/>
      <sz val="13"/>
      <color theme="0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rgb="FF9C5700"/>
      <name val="Verdana"/>
      <family val="2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EB9C"/>
      </patternFill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16" fillId="8" borderId="0" applyNumberFormat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1" xfId="1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10" fillId="0" borderId="0" xfId="0" applyFont="1"/>
    <xf numFmtId="0" fontId="0" fillId="5" borderId="3" xfId="0" applyFill="1" applyBorder="1" applyProtection="1">
      <protection locked="0"/>
    </xf>
    <xf numFmtId="164" fontId="0" fillId="5" borderId="4" xfId="0" applyNumberFormat="1" applyFill="1" applyBorder="1" applyAlignment="1" applyProtection="1">
      <alignment horizontal="left"/>
      <protection locked="0"/>
    </xf>
    <xf numFmtId="14" fontId="0" fillId="5" borderId="4" xfId="0" applyNumberFormat="1" applyFill="1" applyBorder="1" applyAlignment="1" applyProtection="1">
      <alignment horizontal="left"/>
      <protection locked="0"/>
    </xf>
    <xf numFmtId="0" fontId="0" fillId="5" borderId="4" xfId="0" applyFill="1" applyBorder="1" applyAlignment="1" applyProtection="1">
      <alignment horizontal="left"/>
      <protection locked="0"/>
    </xf>
    <xf numFmtId="165" fontId="0" fillId="5" borderId="4" xfId="0" applyNumberFormat="1" applyFill="1" applyBorder="1" applyAlignment="1" applyProtection="1">
      <alignment horizontal="left"/>
      <protection locked="0"/>
    </xf>
    <xf numFmtId="166" fontId="0" fillId="5" borderId="4" xfId="0" applyNumberFormat="1" applyFill="1" applyBorder="1" applyAlignment="1" applyProtection="1">
      <alignment horizontal="left"/>
      <protection locked="0"/>
    </xf>
    <xf numFmtId="167" fontId="0" fillId="5" borderId="4" xfId="0" applyNumberFormat="1" applyFill="1" applyBorder="1" applyAlignment="1" applyProtection="1">
      <alignment horizontal="left"/>
      <protection locked="0"/>
    </xf>
    <xf numFmtId="0" fontId="6" fillId="5" borderId="4" xfId="2" applyFill="1" applyBorder="1" applyAlignment="1" applyProtection="1">
      <alignment horizontal="left"/>
      <protection locked="0"/>
    </xf>
    <xf numFmtId="0" fontId="7" fillId="7" borderId="0" xfId="0" applyFont="1" applyFill="1" applyAlignment="1">
      <alignment horizontal="center"/>
    </xf>
    <xf numFmtId="168" fontId="2" fillId="0" borderId="6" xfId="0" applyNumberFormat="1" applyFont="1" applyBorder="1" applyAlignment="1" applyProtection="1">
      <alignment horizontal="center"/>
      <protection locked="0" hidden="1"/>
    </xf>
    <xf numFmtId="0" fontId="2" fillId="0" borderId="7" xfId="0" applyFont="1" applyBorder="1" applyAlignment="1" applyProtection="1">
      <alignment horizontal="center"/>
      <protection locked="0" hidden="1"/>
    </xf>
    <xf numFmtId="169" fontId="2" fillId="0" borderId="8" xfId="0" applyNumberFormat="1" applyFont="1" applyBorder="1" applyAlignment="1" applyProtection="1">
      <alignment horizontal="center"/>
      <protection locked="0" hidden="1"/>
    </xf>
    <xf numFmtId="168" fontId="2" fillId="0" borderId="6" xfId="0" applyNumberFormat="1" applyFont="1" applyBorder="1" applyAlignment="1" applyProtection="1">
      <alignment horizontal="center" vertical="center"/>
      <protection locked="0" hidden="1"/>
    </xf>
    <xf numFmtId="0" fontId="2" fillId="0" borderId="7" xfId="0" applyFont="1" applyBorder="1" applyAlignment="1" applyProtection="1">
      <alignment horizontal="center" vertical="center"/>
      <protection locked="0" hidden="1"/>
    </xf>
    <xf numFmtId="169" fontId="2" fillId="0" borderId="8" xfId="0" applyNumberFormat="1" applyFont="1" applyBorder="1" applyAlignment="1" applyProtection="1">
      <alignment horizontal="center" vertical="center"/>
      <protection locked="0" hidden="1"/>
    </xf>
    <xf numFmtId="0" fontId="14" fillId="0" borderId="0" xfId="0" applyFont="1"/>
    <xf numFmtId="168" fontId="2" fillId="0" borderId="15" xfId="0" applyNumberFormat="1" applyFont="1" applyBorder="1" applyAlignment="1" applyProtection="1">
      <alignment horizontal="center" vertical="center"/>
      <protection locked="0" hidden="1"/>
    </xf>
    <xf numFmtId="0" fontId="2" fillId="0" borderId="16" xfId="0" applyFont="1" applyBorder="1" applyAlignment="1" applyProtection="1">
      <alignment horizontal="center" vertical="center"/>
      <protection locked="0" hidden="1"/>
    </xf>
    <xf numFmtId="169" fontId="2" fillId="0" borderId="17" xfId="0" applyNumberFormat="1" applyFont="1" applyBorder="1" applyAlignment="1" applyProtection="1">
      <alignment horizontal="center" vertical="center"/>
      <protection locked="0" hidden="1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15" fillId="6" borderId="5" xfId="0" applyFont="1" applyFill="1" applyBorder="1" applyAlignment="1" applyProtection="1">
      <alignment horizontal="left"/>
      <protection locked="0"/>
    </xf>
    <xf numFmtId="8" fontId="15" fillId="6" borderId="5" xfId="0" applyNumberFormat="1" applyFont="1" applyFill="1" applyBorder="1" applyAlignment="1" applyProtection="1">
      <alignment horizontal="left"/>
      <protection locked="0"/>
    </xf>
    <xf numFmtId="0" fontId="5" fillId="4" borderId="2" xfId="0" applyFont="1" applyFill="1" applyBorder="1" applyAlignment="1">
      <alignment horizontal="left" indent="2"/>
    </xf>
    <xf numFmtId="0" fontId="4" fillId="0" borderId="1" xfId="1" applyFont="1" applyAlignment="1">
      <alignment horizontal="left"/>
    </xf>
    <xf numFmtId="8" fontId="8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4" fillId="0" borderId="0" xfId="1" applyFont="1" applyBorder="1" applyAlignment="1">
      <alignment horizontal="left"/>
    </xf>
    <xf numFmtId="0" fontId="5" fillId="4" borderId="0" xfId="0" applyFont="1" applyFill="1" applyAlignment="1">
      <alignment horizontal="left" indent="2"/>
    </xf>
    <xf numFmtId="0" fontId="17" fillId="8" borderId="0" xfId="3" applyFont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</cellXfs>
  <cellStyles count="4">
    <cellStyle name="Hiperlink" xfId="2" builtinId="8"/>
    <cellStyle name="Neutro" xfId="3" builtinId="28"/>
    <cellStyle name="Normal" xfId="0" builtinId="0"/>
    <cellStyle name="Título 1" xfId="1" builtinId="16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 style="medium">
          <color rgb="FFDDDDDD"/>
        </vertical>
        <horizontal style="medium">
          <color rgb="FFDDDDDD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 style="medium">
          <color rgb="FFDDDDDD"/>
        </vertical>
        <horizontal style="medium">
          <color rgb="FFDDDDDD"/>
        </horizontal>
      </border>
      <protection locked="1" hidden="0"/>
    </dxf>
    <dxf>
      <border>
        <top style="medium">
          <color rgb="FFDDDDDD"/>
        </top>
      </border>
    </dxf>
    <dxf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protection locked="1" hidden="0"/>
    </dxf>
    <dxf>
      <border>
        <bottom style="medium">
          <color rgb="FFDDDDDD"/>
        </bottom>
      </border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169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/>
        <bottom/>
      </border>
      <protection locked="0" hidden="1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  <protection locked="0" hidden="1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/>
        <bottom/>
      </border>
      <protection locked="0" hidden="1"/>
    </dxf>
    <dxf>
      <font>
        <strike val="0"/>
        <outline val="0"/>
        <shadow val="0"/>
        <u val="none"/>
        <vertAlign val="baseline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169" formatCode="&quot;R$&quot;\ #,##0.00"/>
      <border diagonalUp="0" diagonalDown="0">
        <left style="thin">
          <color theme="2" tint="-0.24994659260841701"/>
        </left>
        <right/>
        <top/>
        <bottom/>
        <vertical style="thin">
          <color theme="2" tint="-0.24994659260841701"/>
        </vertical>
        <horizontal/>
      </border>
      <protection locked="0" hidden="1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border diagonalUp="0" diagonalDown="0">
        <left style="thin">
          <color theme="2" tint="-0.24994659260841701"/>
        </left>
        <right style="thin">
          <color theme="2" tint="-0.24994659260841701"/>
        </right>
        <top/>
        <bottom/>
        <vertical style="thin">
          <color theme="2" tint="-0.24994659260841701"/>
        </vertical>
        <horizontal/>
      </border>
      <protection locked="0" hidden="1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border diagonalUp="0" diagonalDown="0">
        <left/>
        <right style="thin">
          <color theme="2" tint="-0.24994659260841701"/>
        </right>
        <top/>
        <bottom/>
        <vertical style="thin">
          <color theme="2" tint="-0.24994659260841701"/>
        </vertical>
        <horizontal/>
      </border>
      <protection locked="0" hidden="1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0F0"/>
      <color rgb="FFFFEB9C"/>
      <color rgb="FFFFFF9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DESP_DEDUTIVEIS!C1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406080</xdr:colOff>
      <xdr:row>2</xdr:row>
      <xdr:rowOff>257809</xdr:rowOff>
    </xdr:from>
    <xdr:to>
      <xdr:col>0</xdr:col>
      <xdr:colOff>1622745</xdr:colOff>
      <xdr:row>9</xdr:row>
      <xdr:rowOff>45724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B18F71-CD5D-266D-50FE-6236B39EE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80" y="791209"/>
          <a:ext cx="1216665" cy="1216665"/>
        </a:xfrm>
        <a:prstGeom prst="rect">
          <a:avLst/>
        </a:prstGeom>
      </xdr:spPr>
    </xdr:pic>
    <xdr:clientData/>
  </xdr:twoCellAnchor>
  <xdr:twoCellAnchor editAs="absolute">
    <xdr:from>
      <xdr:col>0</xdr:col>
      <xdr:colOff>161925</xdr:colOff>
      <xdr:row>10</xdr:row>
      <xdr:rowOff>46358</xdr:rowOff>
    </xdr:from>
    <xdr:to>
      <xdr:col>0</xdr:col>
      <xdr:colOff>1866900</xdr:colOff>
      <xdr:row>11</xdr:row>
      <xdr:rowOff>103508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314F81-E4E1-FC32-5710-3D231A528B32}"/>
            </a:ext>
          </a:extLst>
        </xdr:cNvPr>
        <xdr:cNvSpPr/>
      </xdr:nvSpPr>
      <xdr:spPr>
        <a:xfrm>
          <a:off x="161925" y="2208533"/>
          <a:ext cx="1704975" cy="2571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  <a:alpha val="90000"/>
              </a:schemeClr>
            </a:gs>
            <a:gs pos="28000">
              <a:schemeClr val="accent1">
                <a:lumMod val="45000"/>
                <a:lumOff val="55000"/>
              </a:schemeClr>
            </a:gs>
            <a:gs pos="100000">
              <a:srgbClr val="0070C0">
                <a:alpha val="86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161925</xdr:colOff>
      <xdr:row>12</xdr:row>
      <xdr:rowOff>104142</xdr:rowOff>
    </xdr:from>
    <xdr:to>
      <xdr:col>0</xdr:col>
      <xdr:colOff>1866900</xdr:colOff>
      <xdr:row>13</xdr:row>
      <xdr:rowOff>161292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37E338-1CD4-C46F-196D-DE1548E7545A}"/>
            </a:ext>
          </a:extLst>
        </xdr:cNvPr>
        <xdr:cNvSpPr/>
      </xdr:nvSpPr>
      <xdr:spPr>
        <a:xfrm>
          <a:off x="161925" y="2666367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14</xdr:row>
      <xdr:rowOff>161925</xdr:rowOff>
    </xdr:from>
    <xdr:to>
      <xdr:col>0</xdr:col>
      <xdr:colOff>1866900</xdr:colOff>
      <xdr:row>16</xdr:row>
      <xdr:rowOff>19050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C7DC7E-3E51-1C0E-4EDB-087BF2BF7F46}"/>
            </a:ext>
          </a:extLst>
        </xdr:cNvPr>
        <xdr:cNvSpPr/>
      </xdr:nvSpPr>
      <xdr:spPr>
        <a:xfrm>
          <a:off x="161925" y="312420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</xdr:colOff>
      <xdr:row>19</xdr:row>
      <xdr:rowOff>171450</xdr:rowOff>
    </xdr:from>
    <xdr:to>
      <xdr:col>0</xdr:col>
      <xdr:colOff>1771650</xdr:colOff>
      <xdr:row>21</xdr:row>
      <xdr:rowOff>47625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4C8E7255-3277-D5E4-D745-C911ADD23CB1}"/>
            </a:ext>
          </a:extLst>
        </xdr:cNvPr>
        <xdr:cNvSpPr/>
      </xdr:nvSpPr>
      <xdr:spPr>
        <a:xfrm>
          <a:off x="66675" y="398145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⇮</a:t>
          </a:r>
          <a:r>
            <a:rPr lang="pt-BR" sz="700" b="1">
              <a:latin typeface="Verdana" panose="020B0604030504040204" pitchFamily="34" charset="0"/>
              <a:ea typeface="Verdana" panose="020B0604030504040204" pitchFamily="34" charset="0"/>
            </a:rPr>
            <a:t> SYSTEM</a:t>
          </a:r>
          <a:r>
            <a:rPr lang="pt-BR" sz="700" b="1" baseline="0">
              <a:latin typeface="Verdana" panose="020B0604030504040204" pitchFamily="34" charset="0"/>
              <a:ea typeface="Verdana" panose="020B0604030504040204" pitchFamily="34" charset="0"/>
            </a:rPr>
            <a:t> BY GS </a:t>
          </a:r>
          <a:r>
            <a:rPr lang="pt-BR" sz="800" b="1">
              <a:solidFill>
                <a:srgbClr val="0070C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⇮</a:t>
          </a:r>
          <a:r>
            <a:rPr lang="pt-BR" sz="800" b="1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endParaRPr lang="pt-BR"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47625</xdr:rowOff>
    </xdr:from>
    <xdr:to>
      <xdr:col>1</xdr:col>
      <xdr:colOff>0</xdr:colOff>
      <xdr:row>2</xdr:row>
      <xdr:rowOff>200025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71F300A-3088-459D-B0DF-48BA46BF8226}"/>
            </a:ext>
          </a:extLst>
        </xdr:cNvPr>
        <xdr:cNvSpPr/>
      </xdr:nvSpPr>
      <xdr:spPr>
        <a:xfrm>
          <a:off x="0" y="238125"/>
          <a:ext cx="202882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 APP</a:t>
          </a:r>
          <a:endParaRPr lang="pt-BR" sz="2000" b="1">
            <a:gradFill flip="none" rotWithShape="1">
              <a:gsLst>
                <a:gs pos="23000">
                  <a:schemeClr val="accent1">
                    <a:lumMod val="5000"/>
                    <a:lumOff val="95000"/>
                    <a:alpha val="90000"/>
                  </a:schemeClr>
                </a:gs>
                <a:gs pos="65000">
                  <a:schemeClr val="accent1">
                    <a:lumMod val="45000"/>
                    <a:lumOff val="55000"/>
                  </a:schemeClr>
                </a:gs>
                <a:gs pos="100000">
                  <a:srgbClr val="0070C0">
                    <a:alpha val="86000"/>
                  </a:srgbClr>
                </a:gs>
              </a:gsLst>
              <a:lin ang="2700000" scaled="1"/>
              <a:tileRect/>
            </a:gra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20</xdr:row>
      <xdr:rowOff>9525</xdr:rowOff>
    </xdr:from>
    <xdr:to>
      <xdr:col>3</xdr:col>
      <xdr:colOff>3038475</xdr:colOff>
      <xdr:row>21</xdr:row>
      <xdr:rowOff>57150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056265-4B48-D157-6FC1-667E7C344051}"/>
            </a:ext>
          </a:extLst>
        </xdr:cNvPr>
        <xdr:cNvSpPr/>
      </xdr:nvSpPr>
      <xdr:spPr>
        <a:xfrm>
          <a:off x="6286500" y="4010025"/>
          <a:ext cx="3038475" cy="238125"/>
        </a:xfrm>
        <a:prstGeom prst="rect">
          <a:avLst/>
        </a:prstGeom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123825</xdr:colOff>
      <xdr:row>16</xdr:row>
      <xdr:rowOff>190500</xdr:rowOff>
    </xdr:from>
    <xdr:to>
      <xdr:col>0</xdr:col>
      <xdr:colOff>1828800</xdr:colOff>
      <xdr:row>18</xdr:row>
      <xdr:rowOff>47625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CEDB50-685D-70E7-D9DE-468126CDBC8A}"/>
            </a:ext>
          </a:extLst>
        </xdr:cNvPr>
        <xdr:cNvSpPr/>
      </xdr:nvSpPr>
      <xdr:spPr>
        <a:xfrm>
          <a:off x="123825" y="3400425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DESPESAS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406080</xdr:colOff>
      <xdr:row>3</xdr:row>
      <xdr:rowOff>143509</xdr:rowOff>
    </xdr:from>
    <xdr:to>
      <xdr:col>0</xdr:col>
      <xdr:colOff>1622745</xdr:colOff>
      <xdr:row>10</xdr:row>
      <xdr:rowOff>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EB73FA-BF75-41EE-B40A-FEE69AB1F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80" y="791209"/>
          <a:ext cx="1216665" cy="121666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57150</xdr:rowOff>
    </xdr:from>
    <xdr:to>
      <xdr:col>1</xdr:col>
      <xdr:colOff>0</xdr:colOff>
      <xdr:row>2</xdr:row>
      <xdr:rowOff>209550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C82E882-45AF-49DD-8E18-294266B1191D}"/>
            </a:ext>
          </a:extLst>
        </xdr:cNvPr>
        <xdr:cNvSpPr/>
      </xdr:nvSpPr>
      <xdr:spPr>
        <a:xfrm>
          <a:off x="0" y="247650"/>
          <a:ext cx="202882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 APP</a:t>
          </a:r>
          <a:endParaRPr lang="pt-BR" sz="2000" b="1">
            <a:gradFill flip="none" rotWithShape="1">
              <a:gsLst>
                <a:gs pos="23000">
                  <a:schemeClr val="accent1">
                    <a:lumMod val="5000"/>
                    <a:lumOff val="95000"/>
                    <a:alpha val="90000"/>
                  </a:schemeClr>
                </a:gs>
                <a:gs pos="65000">
                  <a:schemeClr val="accent1">
                    <a:lumMod val="45000"/>
                    <a:lumOff val="55000"/>
                  </a:schemeClr>
                </a:gs>
                <a:gs pos="100000">
                  <a:srgbClr val="0070C0">
                    <a:alpha val="86000"/>
                  </a:srgbClr>
                </a:gs>
              </a:gsLst>
              <a:lin ang="2700000" scaled="1"/>
              <a:tileRect/>
            </a:gra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11</xdr:row>
      <xdr:rowOff>198758</xdr:rowOff>
    </xdr:from>
    <xdr:to>
      <xdr:col>0</xdr:col>
      <xdr:colOff>1866900</xdr:colOff>
      <xdr:row>13</xdr:row>
      <xdr:rowOff>55883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66B05-A82D-4419-8C0A-CFEDBC2D95EE}"/>
            </a:ext>
          </a:extLst>
        </xdr:cNvPr>
        <xdr:cNvSpPr/>
      </xdr:nvSpPr>
      <xdr:spPr>
        <a:xfrm>
          <a:off x="161925" y="2208533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161925</xdr:colOff>
      <xdr:row>14</xdr:row>
      <xdr:rowOff>66042</xdr:rowOff>
    </xdr:from>
    <xdr:to>
      <xdr:col>0</xdr:col>
      <xdr:colOff>1866900</xdr:colOff>
      <xdr:row>15</xdr:row>
      <xdr:rowOff>132717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648713-6F36-4668-855D-C595FD9F3F91}"/>
            </a:ext>
          </a:extLst>
        </xdr:cNvPr>
        <xdr:cNvSpPr/>
      </xdr:nvSpPr>
      <xdr:spPr>
        <a:xfrm>
          <a:off x="161925" y="2666367"/>
          <a:ext cx="1704975" cy="2571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  <a:alpha val="90000"/>
              </a:schemeClr>
            </a:gs>
            <a:gs pos="28000">
              <a:schemeClr val="accent1">
                <a:lumMod val="45000"/>
                <a:lumOff val="55000"/>
              </a:schemeClr>
            </a:gs>
            <a:gs pos="100000">
              <a:srgbClr val="0070C0">
                <a:alpha val="86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16</xdr:row>
      <xdr:rowOff>133350</xdr:rowOff>
    </xdr:from>
    <xdr:to>
      <xdr:col>0</xdr:col>
      <xdr:colOff>1866900</xdr:colOff>
      <xdr:row>17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C332C8-DDF7-477A-B017-40A9DCF80715}"/>
            </a:ext>
          </a:extLst>
        </xdr:cNvPr>
        <xdr:cNvSpPr/>
      </xdr:nvSpPr>
      <xdr:spPr>
        <a:xfrm>
          <a:off x="161925" y="312420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133350</xdr:colOff>
      <xdr:row>21</xdr:row>
      <xdr:rowOff>38100</xdr:rowOff>
    </xdr:from>
    <xdr:to>
      <xdr:col>0</xdr:col>
      <xdr:colOff>1838325</xdr:colOff>
      <xdr:row>22</xdr:row>
      <xdr:rowOff>104775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086B4EC-5093-48F8-9565-D8538F009943}"/>
            </a:ext>
          </a:extLst>
        </xdr:cNvPr>
        <xdr:cNvSpPr/>
      </xdr:nvSpPr>
      <xdr:spPr>
        <a:xfrm>
          <a:off x="133350" y="4200525"/>
          <a:ext cx="1704975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⇮</a:t>
          </a:r>
          <a:r>
            <a:rPr lang="pt-BR" sz="700" b="1">
              <a:latin typeface="Verdana" panose="020B0604030504040204" pitchFamily="34" charset="0"/>
              <a:ea typeface="Verdana" panose="020B0604030504040204" pitchFamily="34" charset="0"/>
            </a:rPr>
            <a:t> SYSTEM</a:t>
          </a:r>
          <a:r>
            <a:rPr lang="pt-BR" sz="700" b="1" baseline="0">
              <a:latin typeface="Verdana" panose="020B0604030504040204" pitchFamily="34" charset="0"/>
              <a:ea typeface="Verdana" panose="020B0604030504040204" pitchFamily="34" charset="0"/>
            </a:rPr>
            <a:t> BY GS </a:t>
          </a:r>
          <a:r>
            <a:rPr lang="pt-BR" sz="800" b="1">
              <a:solidFill>
                <a:srgbClr val="0070C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⇮</a:t>
          </a:r>
          <a:r>
            <a:rPr lang="pt-BR" sz="800" b="1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endParaRPr lang="pt-BR"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19051</xdr:colOff>
      <xdr:row>25</xdr:row>
      <xdr:rowOff>152400</xdr:rowOff>
    </xdr:from>
    <xdr:to>
      <xdr:col>2</xdr:col>
      <xdr:colOff>3600451</xdr:colOff>
      <xdr:row>26</xdr:row>
      <xdr:rowOff>190499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B90C2E-286C-4F7C-9D82-08A29D75C51B}"/>
            </a:ext>
          </a:extLst>
        </xdr:cNvPr>
        <xdr:cNvSpPr/>
      </xdr:nvSpPr>
      <xdr:spPr>
        <a:xfrm>
          <a:off x="2657476" y="5114925"/>
          <a:ext cx="3581400" cy="228599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  ANTERIOR</a:t>
          </a:r>
          <a:endParaRPr lang="pt-BR" sz="1100"/>
        </a:p>
      </xdr:txBody>
    </xdr:sp>
    <xdr:clientData/>
  </xdr:twoCellAnchor>
  <xdr:twoCellAnchor editAs="absolute">
    <xdr:from>
      <xdr:col>3</xdr:col>
      <xdr:colOff>9525</xdr:colOff>
      <xdr:row>25</xdr:row>
      <xdr:rowOff>152400</xdr:rowOff>
    </xdr:from>
    <xdr:to>
      <xdr:col>4</xdr:col>
      <xdr:colOff>9525</xdr:colOff>
      <xdr:row>27</xdr:row>
      <xdr:rowOff>9524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2EEF55-132C-4C85-A056-BAFF64BE6CC4}"/>
            </a:ext>
          </a:extLst>
        </xdr:cNvPr>
        <xdr:cNvSpPr/>
      </xdr:nvSpPr>
      <xdr:spPr>
        <a:xfrm>
          <a:off x="6296025" y="5114925"/>
          <a:ext cx="3048000" cy="238124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142875</xdr:colOff>
      <xdr:row>18</xdr:row>
      <xdr:rowOff>190500</xdr:rowOff>
    </xdr:from>
    <xdr:to>
      <xdr:col>0</xdr:col>
      <xdr:colOff>1847850</xdr:colOff>
      <xdr:row>20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53CF9B-0444-4C9A-9BE9-7F96BDA33B68}"/>
            </a:ext>
          </a:extLst>
        </xdr:cNvPr>
        <xdr:cNvSpPr/>
      </xdr:nvSpPr>
      <xdr:spPr>
        <a:xfrm>
          <a:off x="142875" y="377190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DESPESAS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406080</xdr:colOff>
      <xdr:row>3</xdr:row>
      <xdr:rowOff>153034</xdr:rowOff>
    </xdr:from>
    <xdr:to>
      <xdr:col>0</xdr:col>
      <xdr:colOff>1622745</xdr:colOff>
      <xdr:row>10</xdr:row>
      <xdr:rowOff>45724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E80799-BF5C-483A-BDDC-0E839DC9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80" y="791209"/>
          <a:ext cx="1216665" cy="121666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57150</xdr:rowOff>
    </xdr:from>
    <xdr:to>
      <xdr:col>1</xdr:col>
      <xdr:colOff>0</xdr:colOff>
      <xdr:row>2</xdr:row>
      <xdr:rowOff>209550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4851F8-3C87-41A8-8AA3-0A4B18329ED7}"/>
            </a:ext>
          </a:extLst>
        </xdr:cNvPr>
        <xdr:cNvSpPr/>
      </xdr:nvSpPr>
      <xdr:spPr>
        <a:xfrm>
          <a:off x="0" y="247650"/>
          <a:ext cx="202882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 APP</a:t>
          </a:r>
          <a:endParaRPr lang="pt-BR" sz="2000" b="1">
            <a:gradFill flip="none" rotWithShape="1">
              <a:gsLst>
                <a:gs pos="23000">
                  <a:schemeClr val="accent1">
                    <a:lumMod val="5000"/>
                    <a:lumOff val="95000"/>
                    <a:alpha val="90000"/>
                  </a:schemeClr>
                </a:gs>
                <a:gs pos="65000">
                  <a:schemeClr val="accent1">
                    <a:lumMod val="45000"/>
                    <a:lumOff val="55000"/>
                  </a:schemeClr>
                </a:gs>
                <a:gs pos="100000">
                  <a:srgbClr val="0070C0">
                    <a:alpha val="86000"/>
                  </a:srgbClr>
                </a:gs>
              </a:gsLst>
              <a:lin ang="2700000" scaled="1"/>
              <a:tileRect/>
            </a:gra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11</xdr:row>
      <xdr:rowOff>55883</xdr:rowOff>
    </xdr:from>
    <xdr:to>
      <xdr:col>0</xdr:col>
      <xdr:colOff>1866900</xdr:colOff>
      <xdr:row>12</xdr:row>
      <xdr:rowOff>122558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FD7A2D-E9DF-4176-943B-95734834E70D}"/>
            </a:ext>
          </a:extLst>
        </xdr:cNvPr>
        <xdr:cNvSpPr/>
      </xdr:nvSpPr>
      <xdr:spPr>
        <a:xfrm>
          <a:off x="161925" y="2208533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161925</xdr:colOff>
      <xdr:row>13</xdr:row>
      <xdr:rowOff>132717</xdr:rowOff>
    </xdr:from>
    <xdr:to>
      <xdr:col>0</xdr:col>
      <xdr:colOff>1866900</xdr:colOff>
      <xdr:row>15</xdr:row>
      <xdr:rowOff>8892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1A4B18-4E33-43FC-A275-D555A969F2A2}"/>
            </a:ext>
          </a:extLst>
        </xdr:cNvPr>
        <xdr:cNvSpPr/>
      </xdr:nvSpPr>
      <xdr:spPr>
        <a:xfrm>
          <a:off x="161925" y="2666367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16</xdr:row>
      <xdr:rowOff>19050</xdr:rowOff>
    </xdr:from>
    <xdr:to>
      <xdr:col>0</xdr:col>
      <xdr:colOff>1866900</xdr:colOff>
      <xdr:row>17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D48145-FE76-48F3-B752-13864CEA83C0}"/>
            </a:ext>
          </a:extLst>
        </xdr:cNvPr>
        <xdr:cNvSpPr/>
      </xdr:nvSpPr>
      <xdr:spPr>
        <a:xfrm>
          <a:off x="161925" y="3124200"/>
          <a:ext cx="1704975" cy="2571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  <a:alpha val="90000"/>
              </a:schemeClr>
            </a:gs>
            <a:gs pos="28000">
              <a:schemeClr val="accent1">
                <a:lumMod val="45000"/>
                <a:lumOff val="55000"/>
              </a:schemeClr>
            </a:gs>
            <a:gs pos="100000">
              <a:srgbClr val="0070C0">
                <a:alpha val="86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38100</xdr:colOff>
      <xdr:row>21</xdr:row>
      <xdr:rowOff>19050</xdr:rowOff>
    </xdr:from>
    <xdr:to>
      <xdr:col>0</xdr:col>
      <xdr:colOff>1743075</xdr:colOff>
      <xdr:row>22</xdr:row>
      <xdr:rowOff>85725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6BDCB51-2744-4413-B8B5-67484A990538}"/>
            </a:ext>
          </a:extLst>
        </xdr:cNvPr>
        <xdr:cNvSpPr/>
      </xdr:nvSpPr>
      <xdr:spPr>
        <a:xfrm>
          <a:off x="38100" y="407670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⇮</a:t>
          </a:r>
          <a:r>
            <a:rPr lang="pt-BR" sz="700" b="1">
              <a:latin typeface="Verdana" panose="020B0604030504040204" pitchFamily="34" charset="0"/>
              <a:ea typeface="Verdana" panose="020B0604030504040204" pitchFamily="34" charset="0"/>
            </a:rPr>
            <a:t> SYSTEM</a:t>
          </a:r>
          <a:r>
            <a:rPr lang="pt-BR" sz="700" b="1" baseline="0">
              <a:latin typeface="Verdana" panose="020B0604030504040204" pitchFamily="34" charset="0"/>
              <a:ea typeface="Verdana" panose="020B0604030504040204" pitchFamily="34" charset="0"/>
            </a:rPr>
            <a:t> BY GS </a:t>
          </a:r>
          <a:r>
            <a:rPr lang="pt-BR" sz="800" b="1">
              <a:solidFill>
                <a:srgbClr val="0070C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⇮</a:t>
          </a:r>
          <a:r>
            <a:rPr lang="pt-BR" sz="800" b="1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endParaRPr lang="pt-BR"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152401</xdr:rowOff>
    </xdr:from>
    <xdr:to>
      <xdr:col>2</xdr:col>
      <xdr:colOff>1343025</xdr:colOff>
      <xdr:row>6</xdr:row>
      <xdr:rowOff>9526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7ABA03-2209-4C10-8EF2-F2D4990382DF}"/>
            </a:ext>
          </a:extLst>
        </xdr:cNvPr>
        <xdr:cNvSpPr/>
      </xdr:nvSpPr>
      <xdr:spPr>
        <a:xfrm>
          <a:off x="2638425" y="981076"/>
          <a:ext cx="1343025" cy="209550"/>
        </a:xfrm>
        <a:prstGeom prst="rect">
          <a:avLst/>
        </a:prstGeom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  <a:endParaRPr lang="pt-BR" sz="1100"/>
        </a:p>
      </xdr:txBody>
    </xdr:sp>
    <xdr:clientData/>
  </xdr:twoCellAnchor>
  <xdr:twoCellAnchor editAs="absolute">
    <xdr:from>
      <xdr:col>2</xdr:col>
      <xdr:colOff>1390650</xdr:colOff>
      <xdr:row>4</xdr:row>
      <xdr:rowOff>152401</xdr:rowOff>
    </xdr:from>
    <xdr:to>
      <xdr:col>3</xdr:col>
      <xdr:colOff>485775</xdr:colOff>
      <xdr:row>6</xdr:row>
      <xdr:rowOff>9526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BECDB0-605F-145D-9E31-0BAD3128D68B}"/>
            </a:ext>
          </a:extLst>
        </xdr:cNvPr>
        <xdr:cNvSpPr/>
      </xdr:nvSpPr>
      <xdr:spPr>
        <a:xfrm>
          <a:off x="4029075" y="981076"/>
          <a:ext cx="1343025" cy="209550"/>
        </a:xfrm>
        <a:prstGeom prst="rect">
          <a:avLst/>
        </a:prstGeom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PRÓXIMA -&gt;</a:t>
          </a:r>
          <a:endParaRPr lang="pt-BR" sz="1100"/>
        </a:p>
      </xdr:txBody>
    </xdr:sp>
    <xdr:clientData/>
  </xdr:twoCellAnchor>
  <xdr:twoCellAnchor editAs="absolute">
    <xdr:from>
      <xdr:col>0</xdr:col>
      <xdr:colOff>114300</xdr:colOff>
      <xdr:row>18</xdr:row>
      <xdr:rowOff>161925</xdr:rowOff>
    </xdr:from>
    <xdr:to>
      <xdr:col>0</xdr:col>
      <xdr:colOff>1819275</xdr:colOff>
      <xdr:row>20</xdr:row>
      <xdr:rowOff>38100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CA5C15-2ECC-4A1F-A020-03F4618A21F8}"/>
            </a:ext>
          </a:extLst>
        </xdr:cNvPr>
        <xdr:cNvSpPr/>
      </xdr:nvSpPr>
      <xdr:spPr>
        <a:xfrm>
          <a:off x="114300" y="3648075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DESPESAS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406080</xdr:colOff>
      <xdr:row>3</xdr:row>
      <xdr:rowOff>149648</xdr:rowOff>
    </xdr:from>
    <xdr:to>
      <xdr:col>0</xdr:col>
      <xdr:colOff>1622745</xdr:colOff>
      <xdr:row>10</xdr:row>
      <xdr:rowOff>42338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74C3C7-C3E3-49E7-905B-80495889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80" y="787823"/>
          <a:ext cx="1216665" cy="121666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57150</xdr:rowOff>
    </xdr:from>
    <xdr:to>
      <xdr:col>1</xdr:col>
      <xdr:colOff>0</xdr:colOff>
      <xdr:row>2</xdr:row>
      <xdr:rowOff>209550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E136433-E1CE-4FCA-B256-9C9932B1C88E}"/>
            </a:ext>
          </a:extLst>
        </xdr:cNvPr>
        <xdr:cNvSpPr/>
      </xdr:nvSpPr>
      <xdr:spPr>
        <a:xfrm>
          <a:off x="0" y="247650"/>
          <a:ext cx="202882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 APP</a:t>
          </a:r>
          <a:endParaRPr lang="pt-BR" sz="2000" b="1">
            <a:gradFill flip="none" rotWithShape="1">
              <a:gsLst>
                <a:gs pos="23000">
                  <a:schemeClr val="accent1">
                    <a:lumMod val="5000"/>
                    <a:lumOff val="95000"/>
                    <a:alpha val="90000"/>
                  </a:schemeClr>
                </a:gs>
                <a:gs pos="65000">
                  <a:schemeClr val="accent1">
                    <a:lumMod val="45000"/>
                    <a:lumOff val="55000"/>
                  </a:schemeClr>
                </a:gs>
                <a:gs pos="100000">
                  <a:srgbClr val="0070C0">
                    <a:alpha val="86000"/>
                  </a:srgbClr>
                </a:gs>
              </a:gsLst>
              <a:lin ang="2700000" scaled="1"/>
              <a:tileRect/>
            </a:gra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11</xdr:row>
      <xdr:rowOff>49111</xdr:rowOff>
    </xdr:from>
    <xdr:to>
      <xdr:col>0</xdr:col>
      <xdr:colOff>1866900</xdr:colOff>
      <xdr:row>12</xdr:row>
      <xdr:rowOff>115786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EB0910-59B6-476D-8940-CDFAEDE313E7}"/>
            </a:ext>
          </a:extLst>
        </xdr:cNvPr>
        <xdr:cNvSpPr/>
      </xdr:nvSpPr>
      <xdr:spPr>
        <a:xfrm>
          <a:off x="161925" y="2201761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161925</xdr:colOff>
      <xdr:row>13</xdr:row>
      <xdr:rowOff>122559</xdr:rowOff>
    </xdr:from>
    <xdr:to>
      <xdr:col>0</xdr:col>
      <xdr:colOff>1866900</xdr:colOff>
      <xdr:row>14</xdr:row>
      <xdr:rowOff>189234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AFEDCD-BCFA-4C6C-B258-6A318E047F69}"/>
            </a:ext>
          </a:extLst>
        </xdr:cNvPr>
        <xdr:cNvSpPr/>
      </xdr:nvSpPr>
      <xdr:spPr>
        <a:xfrm>
          <a:off x="161925" y="2656209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16</xdr:row>
      <xdr:rowOff>5507</xdr:rowOff>
    </xdr:from>
    <xdr:to>
      <xdr:col>0</xdr:col>
      <xdr:colOff>1866900</xdr:colOff>
      <xdr:row>17</xdr:row>
      <xdr:rowOff>72182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9A9992-CAF1-4887-9456-4F0A11866C5D}"/>
            </a:ext>
          </a:extLst>
        </xdr:cNvPr>
        <xdr:cNvSpPr/>
      </xdr:nvSpPr>
      <xdr:spPr>
        <a:xfrm>
          <a:off x="161925" y="3110657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20</xdr:row>
      <xdr:rowOff>152400</xdr:rowOff>
    </xdr:from>
    <xdr:to>
      <xdr:col>0</xdr:col>
      <xdr:colOff>1866900</xdr:colOff>
      <xdr:row>22</xdr:row>
      <xdr:rowOff>28575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234143FE-0715-465D-8C97-A92AE227632A}"/>
            </a:ext>
          </a:extLst>
        </xdr:cNvPr>
        <xdr:cNvSpPr/>
      </xdr:nvSpPr>
      <xdr:spPr>
        <a:xfrm>
          <a:off x="161925" y="401955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⇮</a:t>
          </a:r>
          <a:r>
            <a:rPr lang="pt-BR" sz="700" b="1">
              <a:latin typeface="Verdana" panose="020B0604030504040204" pitchFamily="34" charset="0"/>
              <a:ea typeface="Verdana" panose="020B0604030504040204" pitchFamily="34" charset="0"/>
            </a:rPr>
            <a:t> SYSTEM</a:t>
          </a:r>
          <a:r>
            <a:rPr lang="pt-BR" sz="700" b="1" baseline="0">
              <a:latin typeface="Verdana" panose="020B0604030504040204" pitchFamily="34" charset="0"/>
              <a:ea typeface="Verdana" panose="020B0604030504040204" pitchFamily="34" charset="0"/>
            </a:rPr>
            <a:t> BY GS </a:t>
          </a:r>
          <a:r>
            <a:rPr lang="pt-BR" sz="800" b="1">
              <a:solidFill>
                <a:srgbClr val="0070C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⇮</a:t>
          </a:r>
          <a:r>
            <a:rPr lang="pt-BR" sz="800" b="1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endParaRPr lang="pt-BR"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152401</xdr:rowOff>
    </xdr:from>
    <xdr:to>
      <xdr:col>2</xdr:col>
      <xdr:colOff>1343025</xdr:colOff>
      <xdr:row>6</xdr:row>
      <xdr:rowOff>9526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F1AA2D-E74A-4D1B-8F2B-28B1ECA182CA}"/>
            </a:ext>
          </a:extLst>
        </xdr:cNvPr>
        <xdr:cNvSpPr/>
      </xdr:nvSpPr>
      <xdr:spPr>
        <a:xfrm>
          <a:off x="2638425" y="981076"/>
          <a:ext cx="1343025" cy="209550"/>
        </a:xfrm>
        <a:prstGeom prst="rect">
          <a:avLst/>
        </a:prstGeom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  <a:endParaRPr lang="pt-BR" sz="1100"/>
        </a:p>
      </xdr:txBody>
    </xdr:sp>
    <xdr:clientData/>
  </xdr:twoCellAnchor>
  <xdr:twoCellAnchor editAs="absolute">
    <xdr:from>
      <xdr:col>0</xdr:col>
      <xdr:colOff>161925</xdr:colOff>
      <xdr:row>18</xdr:row>
      <xdr:rowOff>78955</xdr:rowOff>
    </xdr:from>
    <xdr:to>
      <xdr:col>0</xdr:col>
      <xdr:colOff>1866900</xdr:colOff>
      <xdr:row>19</xdr:row>
      <xdr:rowOff>145630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A78162-2C5C-4C6D-99D8-DC8CEBF861B6}"/>
            </a:ext>
          </a:extLst>
        </xdr:cNvPr>
        <xdr:cNvSpPr/>
      </xdr:nvSpPr>
      <xdr:spPr>
        <a:xfrm>
          <a:off x="161925" y="3565105"/>
          <a:ext cx="1704975" cy="2571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5000"/>
                <a:lumOff val="95000"/>
                <a:alpha val="90000"/>
              </a:schemeClr>
            </a:gs>
            <a:gs pos="28000">
              <a:schemeClr val="accent1">
                <a:lumMod val="45000"/>
                <a:lumOff val="55000"/>
              </a:schemeClr>
            </a:gs>
            <a:gs pos="100000">
              <a:srgbClr val="0070C0">
                <a:alpha val="86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DESPESAS</a:t>
          </a:r>
        </a:p>
      </xdr:txBody>
    </xdr:sp>
    <xdr:clientData/>
  </xdr:twoCellAnchor>
  <xdr:twoCellAnchor>
    <xdr:from>
      <xdr:col>5</xdr:col>
      <xdr:colOff>171449</xdr:colOff>
      <xdr:row>7</xdr:row>
      <xdr:rowOff>47624</xdr:rowOff>
    </xdr:from>
    <xdr:to>
      <xdr:col>8</xdr:col>
      <xdr:colOff>295275</xdr:colOff>
      <xdr:row>11</xdr:row>
      <xdr:rowOff>19050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07C1F6-7162-85AA-7853-E44A3B522ACE}"/>
            </a:ext>
          </a:extLst>
        </xdr:cNvPr>
        <xdr:cNvSpPr/>
      </xdr:nvSpPr>
      <xdr:spPr>
        <a:xfrm>
          <a:off x="9553574" y="1419224"/>
          <a:ext cx="1952626" cy="752476"/>
        </a:xfrm>
        <a:prstGeom prst="roundRect">
          <a:avLst>
            <a:gd name="adj" fmla="val 35491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 baseline="0">
              <a:solidFill>
                <a:srgbClr val="002060"/>
              </a:solidFill>
              <a:latin typeface="Verdana" panose="020B0604030504040204" pitchFamily="34" charset="0"/>
              <a:ea typeface="Verdana" panose="020B0604030504040204" pitchFamily="34" charset="0"/>
            </a:rPr>
            <a:t>DÚVIDA SOBRE QUAIS AS DESPESAS DEDÚTIVEIS?</a:t>
          </a:r>
        </a:p>
        <a:p>
          <a:pPr algn="ctr"/>
          <a:endParaRPr lang="pt-BR" sz="800" b="1" baseline="0">
            <a:solidFill>
              <a:srgbClr val="002060"/>
            </a:solidFill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/>
          <a:r>
            <a:rPr lang="pt-BR" sz="800" b="1" baseline="0">
              <a:solidFill>
                <a:schemeClr val="accent2">
                  <a:lumMod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Saiba Mais!</a:t>
          </a:r>
          <a:endParaRPr lang="pt-BR" sz="800" b="1">
            <a:solidFill>
              <a:schemeClr val="accent2">
                <a:lumMod val="50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406080</xdr:colOff>
      <xdr:row>2</xdr:row>
      <xdr:rowOff>67309</xdr:rowOff>
    </xdr:from>
    <xdr:to>
      <xdr:col>0</xdr:col>
      <xdr:colOff>1622745</xdr:colOff>
      <xdr:row>5</xdr:row>
      <xdr:rowOff>521974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6B9A05-F279-4E58-9078-EE41CE4CD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6080" y="543559"/>
          <a:ext cx="1216665" cy="121666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47FCC22-5C98-49C6-AD59-66B01A0CB343}"/>
            </a:ext>
          </a:extLst>
        </xdr:cNvPr>
        <xdr:cNvSpPr/>
      </xdr:nvSpPr>
      <xdr:spPr>
        <a:xfrm>
          <a:off x="0" y="0"/>
          <a:ext cx="202882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LION</a:t>
          </a:r>
          <a:r>
            <a:rPr lang="pt-BR" sz="2000" b="1" baseline="0">
              <a:gradFill flip="none" rotWithShape="1">
                <a:gsLst>
                  <a:gs pos="23000">
                    <a:schemeClr val="accent1">
                      <a:lumMod val="5000"/>
                      <a:lumOff val="95000"/>
                      <a:alpha val="90000"/>
                    </a:schemeClr>
                  </a:gs>
                  <a:gs pos="65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0070C0">
                      <a:alpha val="86000"/>
                    </a:srgbClr>
                  </a:gs>
                </a:gsLst>
                <a:lin ang="2700000" scaled="1"/>
                <a:tileRect/>
              </a:gradFill>
              <a:latin typeface="Verdana" panose="020B0604030504040204" pitchFamily="34" charset="0"/>
              <a:ea typeface="Verdana" panose="020B0604030504040204" pitchFamily="34" charset="0"/>
            </a:rPr>
            <a:t> APP</a:t>
          </a:r>
          <a:endParaRPr lang="pt-BR" sz="2000" b="1">
            <a:gradFill flip="none" rotWithShape="1">
              <a:gsLst>
                <a:gs pos="23000">
                  <a:schemeClr val="accent1">
                    <a:lumMod val="5000"/>
                    <a:lumOff val="95000"/>
                    <a:alpha val="90000"/>
                  </a:schemeClr>
                </a:gs>
                <a:gs pos="65000">
                  <a:schemeClr val="accent1">
                    <a:lumMod val="45000"/>
                    <a:lumOff val="55000"/>
                  </a:schemeClr>
                </a:gs>
                <a:gs pos="100000">
                  <a:srgbClr val="0070C0">
                    <a:alpha val="86000"/>
                  </a:srgbClr>
                </a:gs>
              </a:gsLst>
              <a:lin ang="2700000" scaled="1"/>
              <a:tileRect/>
            </a:gra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6</xdr:row>
      <xdr:rowOff>170183</xdr:rowOff>
    </xdr:from>
    <xdr:to>
      <xdr:col>0</xdr:col>
      <xdr:colOff>1866900</xdr:colOff>
      <xdr:row>6</xdr:row>
      <xdr:rowOff>427358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944D63-A043-4549-8921-EAA62AEB1157}"/>
            </a:ext>
          </a:extLst>
        </xdr:cNvPr>
        <xdr:cNvSpPr/>
      </xdr:nvSpPr>
      <xdr:spPr>
        <a:xfrm>
          <a:off x="161925" y="1960883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161925</xdr:colOff>
      <xdr:row>7</xdr:row>
      <xdr:rowOff>75567</xdr:rowOff>
    </xdr:from>
    <xdr:to>
      <xdr:col>0</xdr:col>
      <xdr:colOff>1866900</xdr:colOff>
      <xdr:row>7</xdr:row>
      <xdr:rowOff>332742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2A7D22-D968-406B-8E81-3F2556706DE9}"/>
            </a:ext>
          </a:extLst>
        </xdr:cNvPr>
        <xdr:cNvSpPr/>
      </xdr:nvSpPr>
      <xdr:spPr>
        <a:xfrm>
          <a:off x="161925" y="2418717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8</xdr:row>
      <xdr:rowOff>161925</xdr:rowOff>
    </xdr:from>
    <xdr:to>
      <xdr:col>0</xdr:col>
      <xdr:colOff>1866900</xdr:colOff>
      <xdr:row>9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D5A31E-EDD3-4A25-A63F-ED2976477ACC}"/>
            </a:ext>
          </a:extLst>
        </xdr:cNvPr>
        <xdr:cNvSpPr/>
      </xdr:nvSpPr>
      <xdr:spPr>
        <a:xfrm>
          <a:off x="161925" y="2876550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104775</xdr:colOff>
      <xdr:row>10</xdr:row>
      <xdr:rowOff>447675</xdr:rowOff>
    </xdr:from>
    <xdr:to>
      <xdr:col>0</xdr:col>
      <xdr:colOff>1809750</xdr:colOff>
      <xdr:row>10</xdr:row>
      <xdr:rowOff>704850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0E76E1C-B55C-4C43-8F74-582BA263AEDB}"/>
            </a:ext>
          </a:extLst>
        </xdr:cNvPr>
        <xdr:cNvSpPr/>
      </xdr:nvSpPr>
      <xdr:spPr>
        <a:xfrm>
          <a:off x="104775" y="3914775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⇮</a:t>
          </a:r>
          <a:r>
            <a:rPr lang="pt-BR" sz="700" b="1">
              <a:latin typeface="Verdana" panose="020B0604030504040204" pitchFamily="34" charset="0"/>
              <a:ea typeface="Verdana" panose="020B0604030504040204" pitchFamily="34" charset="0"/>
            </a:rPr>
            <a:t> SYSTEM</a:t>
          </a:r>
          <a:r>
            <a:rPr lang="pt-BR" sz="700" b="1" baseline="0">
              <a:latin typeface="Verdana" panose="020B0604030504040204" pitchFamily="34" charset="0"/>
              <a:ea typeface="Verdana" panose="020B0604030504040204" pitchFamily="34" charset="0"/>
            </a:rPr>
            <a:t> BY GS </a:t>
          </a:r>
          <a:r>
            <a:rPr lang="pt-BR" sz="800" b="1">
              <a:solidFill>
                <a:srgbClr val="0070C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⇮</a:t>
          </a:r>
          <a:r>
            <a:rPr lang="pt-BR" sz="800" b="1" baseline="0">
              <a:solidFill>
                <a:srgbClr val="0070C0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  <a:endParaRPr lang="pt-BR"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85725</xdr:colOff>
      <xdr:row>9</xdr:row>
      <xdr:rowOff>333375</xdr:rowOff>
    </xdr:from>
    <xdr:to>
      <xdr:col>0</xdr:col>
      <xdr:colOff>1790700</xdr:colOff>
      <xdr:row>10</xdr:row>
      <xdr:rowOff>209550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045D2B-C2F2-4070-8EC4-CBA9258E88EE}"/>
            </a:ext>
          </a:extLst>
        </xdr:cNvPr>
        <xdr:cNvSpPr/>
      </xdr:nvSpPr>
      <xdr:spPr>
        <a:xfrm>
          <a:off x="85725" y="3419475"/>
          <a:ext cx="1704975" cy="2571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2</xdr:col>
      <xdr:colOff>28575</xdr:colOff>
      <xdr:row>0</xdr:row>
      <xdr:rowOff>152400</xdr:rowOff>
    </xdr:from>
    <xdr:to>
      <xdr:col>2</xdr:col>
      <xdr:colOff>1371600</xdr:colOff>
      <xdr:row>1</xdr:row>
      <xdr:rowOff>171450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EA5745-3BB7-4ED1-960D-50B6225143ED}"/>
            </a:ext>
          </a:extLst>
        </xdr:cNvPr>
        <xdr:cNvSpPr/>
      </xdr:nvSpPr>
      <xdr:spPr>
        <a:xfrm>
          <a:off x="2667000" y="152400"/>
          <a:ext cx="1343025" cy="209550"/>
        </a:xfrm>
        <a:prstGeom prst="rect">
          <a:avLst/>
        </a:prstGeom>
        <a:ln>
          <a:noFill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E1118-B947-4894-91C8-7B87F795C242}" name="Tabela1" displayName="Tabela1" ref="C9:E49" totalsRowShown="0" headerRowDxfId="16" dataDxfId="15">
  <autoFilter ref="C9:E49" xr:uid="{D17E1118-B947-4894-91C8-7B87F795C242}"/>
  <tableColumns count="3">
    <tableColumn id="1" xr3:uid="{2F621E77-3B6C-47F4-B89D-CE62E1837C43}" name="DATA" dataDxfId="14"/>
    <tableColumn id="2" xr3:uid="{27D634C0-65A4-4059-AB4F-AA0C7CAAB97D}" name="CATEGORIA" dataDxfId="13"/>
    <tableColumn id="3" xr3:uid="{779B3E9C-4893-42F0-9599-E5128A72D828}" name="VALOR" dataDxf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A9757-AB87-4B25-AAFB-2E120F4CFF3A}" name="Tabela13" displayName="Tabela13" ref="C9:E49" totalsRowShown="0" headerRowDxfId="11" dataDxfId="10">
  <autoFilter ref="C9:E49" xr:uid="{D17E1118-B947-4894-91C8-7B87F795C242}"/>
  <tableColumns count="3">
    <tableColumn id="1" xr3:uid="{2E8AEDC4-0080-4577-A1EC-E85AD0B2989F}" name="DATA" dataDxfId="9"/>
    <tableColumn id="2" xr3:uid="{8D0D59B5-5698-42A7-9B28-CF33EE56E59A}" name="CATEGORIA" dataDxfId="8"/>
    <tableColumn id="3" xr3:uid="{A0C9DB04-AE1D-4457-98F6-5709C1147226}" name="VALOR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C8E374-53E8-4E1C-8E03-15DCD01C4E43}" name="Tabela2" displayName="Tabela2" ref="C4:D11" totalsRowShown="0" headerRowDxfId="0" dataDxfId="5" headerRowBorderDxfId="6" tableBorderDxfId="4" totalsRowBorderDxfId="3">
  <autoFilter ref="C4:D11" xr:uid="{D9C8E374-53E8-4E1C-8E03-15DCD01C4E43}"/>
  <tableColumns count="2">
    <tableColumn id="1" xr3:uid="{8C823B2F-88E8-4311-8A8D-B4268FD21159}" name="Categoria" dataDxfId="2"/>
    <tableColumn id="2" xr3:uid="{B5796907-19C1-4F99-9DA3-9C9EB251DF49}" name="O que pode ser deduzid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</a:spPr>
      <a:bodyPr vertOverflow="clip" horzOverflow="clip" rtlCol="0" anchor="ctr"/>
      <a:lstStyle>
        <a:defPPr algn="ctr">
          <a:defRPr sz="800" b="1">
            <a:solidFill>
              <a:srgbClr val="0070C0"/>
            </a:solidFill>
            <a:latin typeface="Verdana" panose="020B0604030504040204" pitchFamily="34" charset="0"/>
            <a:ea typeface="Verdana" panose="020B060403050404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xyz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6256-5D39-4E1A-A6D7-F1C531D27C9D}">
  <dimension ref="A3:E20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30.42578125" style="1" customWidth="1"/>
    <col min="3" max="3" width="54.7109375" customWidth="1"/>
    <col min="4" max="4" width="45.7109375" customWidth="1"/>
  </cols>
  <sheetData>
    <row r="3" spans="3:5" ht="21" thickBot="1" x14ac:dyDescent="0.35">
      <c r="C3" s="36" t="s">
        <v>12</v>
      </c>
      <c r="D3" s="36"/>
      <c r="E3" s="36"/>
    </row>
    <row r="4" spans="3:5" ht="15.75" thickTop="1" x14ac:dyDescent="0.25">
      <c r="C4" s="35" t="s">
        <v>11</v>
      </c>
      <c r="D4" s="35"/>
      <c r="E4" s="35"/>
    </row>
    <row r="5" spans="3:5" ht="12.75" customHeight="1" x14ac:dyDescent="0.25">
      <c r="C5" s="2"/>
    </row>
    <row r="6" spans="3:5" ht="15.75" x14ac:dyDescent="0.25">
      <c r="C6" s="4" t="s">
        <v>0</v>
      </c>
      <c r="D6" s="10" t="s">
        <v>29</v>
      </c>
    </row>
    <row r="7" spans="3:5" ht="15.75" x14ac:dyDescent="0.25">
      <c r="C7" s="5" t="s">
        <v>1</v>
      </c>
      <c r="D7" s="11">
        <v>12312312398</v>
      </c>
    </row>
    <row r="8" spans="3:5" ht="15.75" x14ac:dyDescent="0.25">
      <c r="C8" s="5" t="s">
        <v>35</v>
      </c>
      <c r="D8" s="12">
        <v>31305</v>
      </c>
    </row>
    <row r="9" spans="3:5" ht="15.75" x14ac:dyDescent="0.25">
      <c r="C9" s="5" t="s">
        <v>36</v>
      </c>
      <c r="D9" s="13">
        <v>317852123</v>
      </c>
    </row>
    <row r="10" spans="3:5" ht="15.75" x14ac:dyDescent="0.25">
      <c r="C10" s="5" t="s">
        <v>2</v>
      </c>
      <c r="D10" s="13" t="s">
        <v>30</v>
      </c>
    </row>
    <row r="11" spans="3:5" ht="15.75" x14ac:dyDescent="0.25">
      <c r="C11" s="5" t="s">
        <v>31</v>
      </c>
      <c r="D11" s="13" t="s">
        <v>33</v>
      </c>
    </row>
    <row r="12" spans="3:5" ht="15.75" x14ac:dyDescent="0.25">
      <c r="C12" s="5" t="s">
        <v>3</v>
      </c>
      <c r="D12" s="13" t="s">
        <v>32</v>
      </c>
    </row>
    <row r="13" spans="3:5" ht="15.75" x14ac:dyDescent="0.25">
      <c r="C13" s="5" t="s">
        <v>4</v>
      </c>
      <c r="D13" s="14">
        <v>82248321</v>
      </c>
    </row>
    <row r="14" spans="3:5" ht="15.75" x14ac:dyDescent="0.25">
      <c r="C14" s="5" t="s">
        <v>5</v>
      </c>
      <c r="D14" s="15">
        <v>1125047596</v>
      </c>
    </row>
    <row r="15" spans="3:5" ht="15.75" x14ac:dyDescent="0.25">
      <c r="C15" s="5" t="s">
        <v>6</v>
      </c>
      <c r="D15" s="16">
        <v>11985624571</v>
      </c>
    </row>
    <row r="16" spans="3:5" ht="15.75" x14ac:dyDescent="0.25">
      <c r="C16" s="5" t="s">
        <v>7</v>
      </c>
      <c r="D16" s="17" t="s">
        <v>34</v>
      </c>
    </row>
    <row r="17" spans="3:4" ht="15.75" x14ac:dyDescent="0.25">
      <c r="C17" s="5" t="s">
        <v>8</v>
      </c>
      <c r="D17" s="13" t="s">
        <v>27</v>
      </c>
    </row>
    <row r="18" spans="3:4" ht="15.75" x14ac:dyDescent="0.25">
      <c r="C18" s="5" t="s">
        <v>9</v>
      </c>
      <c r="D18" s="13" t="s">
        <v>28</v>
      </c>
    </row>
    <row r="19" spans="3:4" ht="15.75" x14ac:dyDescent="0.25">
      <c r="C19" s="5" t="s">
        <v>10</v>
      </c>
      <c r="D19" s="13" t="s">
        <v>28</v>
      </c>
    </row>
    <row r="20" spans="3:4" x14ac:dyDescent="0.25">
      <c r="C20" s="2"/>
      <c r="D20" s="6"/>
    </row>
  </sheetData>
  <sheetProtection sheet="1" objects="1" scenarios="1" selectLockedCells="1"/>
  <mergeCells count="2">
    <mergeCell ref="C4:E4"/>
    <mergeCell ref="C3:E3"/>
  </mergeCells>
  <dataValidations count="1">
    <dataValidation type="list" allowBlank="1" showInputMessage="1" showErrorMessage="1" sqref="D17:D19" xr:uid="{4BD1E40D-CE30-4B48-83CA-9F68153BA357}">
      <formula1>"SIM,NÃO"</formula1>
    </dataValidation>
  </dataValidations>
  <hyperlinks>
    <hyperlink ref="D16" r:id="rId1" xr:uid="{A14F5B0F-36E6-49DD-84E5-3E2408F0CD4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BBFA-7A0D-4FBE-BEDE-88249D712AE8}">
  <dimension ref="A3:G27"/>
  <sheetViews>
    <sheetView showGridLines="0" showRowColHeaders="0" zoomScaleNormal="100" workbookViewId="0">
      <selection activeCell="D19" sqref="D19"/>
    </sheetView>
  </sheetViews>
  <sheetFormatPr defaultRowHeight="15" x14ac:dyDescent="0.25"/>
  <cols>
    <col min="1" max="1" width="30.42578125" style="1" customWidth="1"/>
    <col min="3" max="3" width="54.7109375" customWidth="1"/>
    <col min="4" max="4" width="45.7109375" customWidth="1"/>
  </cols>
  <sheetData>
    <row r="3" spans="3:7" ht="21" thickBot="1" x14ac:dyDescent="0.35">
      <c r="C3" s="36" t="s">
        <v>13</v>
      </c>
      <c r="D3" s="36"/>
      <c r="E3" s="3"/>
      <c r="F3" s="2"/>
      <c r="G3" s="2"/>
    </row>
    <row r="4" spans="3:7" ht="15.75" thickTop="1" x14ac:dyDescent="0.25">
      <c r="C4" s="35" t="s">
        <v>14</v>
      </c>
      <c r="D4" s="35"/>
      <c r="E4" s="35"/>
      <c r="F4" s="2"/>
      <c r="G4" s="2"/>
    </row>
    <row r="5" spans="3:7" x14ac:dyDescent="0.25">
      <c r="C5" s="2"/>
      <c r="D5" s="2"/>
      <c r="E5" s="2"/>
      <c r="F5" s="2"/>
      <c r="G5" s="2"/>
    </row>
    <row r="6" spans="3:7" x14ac:dyDescent="0.25">
      <c r="C6" s="2" t="s">
        <v>15</v>
      </c>
      <c r="D6" s="2"/>
      <c r="E6" s="2"/>
      <c r="F6" s="2"/>
      <c r="G6" s="2"/>
    </row>
    <row r="7" spans="3:7" x14ac:dyDescent="0.25">
      <c r="C7" s="37">
        <f>SUM(D12,D18,D24)</f>
        <v>58377777</v>
      </c>
      <c r="D7" s="38"/>
      <c r="E7" s="2"/>
      <c r="F7" s="2"/>
      <c r="G7" s="2"/>
    </row>
    <row r="8" spans="3:7" x14ac:dyDescent="0.25">
      <c r="C8" s="2"/>
      <c r="D8" s="2"/>
      <c r="E8" s="2"/>
      <c r="F8" s="2"/>
      <c r="G8" s="2"/>
    </row>
    <row r="9" spans="3:7" x14ac:dyDescent="0.25">
      <c r="E9" s="2"/>
      <c r="F9" s="2"/>
      <c r="G9" s="2"/>
    </row>
    <row r="10" spans="3:7" ht="15.75" thickBot="1" x14ac:dyDescent="0.3">
      <c r="C10" s="9" t="s">
        <v>16</v>
      </c>
      <c r="D10" s="2"/>
      <c r="E10" s="2"/>
      <c r="F10" s="2"/>
      <c r="G10" s="2"/>
    </row>
    <row r="11" spans="3:7" ht="15.75" thickBot="1" x14ac:dyDescent="0.3">
      <c r="C11" s="7" t="s">
        <v>17</v>
      </c>
      <c r="D11" s="33" t="s">
        <v>42</v>
      </c>
      <c r="E11" s="2"/>
      <c r="F11" s="2"/>
      <c r="G11" s="2"/>
    </row>
    <row r="12" spans="3:7" ht="15.75" thickBot="1" x14ac:dyDescent="0.3">
      <c r="C12" s="7" t="s">
        <v>18</v>
      </c>
      <c r="D12" s="34">
        <v>500000</v>
      </c>
      <c r="E12" s="2"/>
      <c r="F12" s="2"/>
      <c r="G12" s="2"/>
    </row>
    <row r="13" spans="3:7" ht="15.75" thickBot="1" x14ac:dyDescent="0.3">
      <c r="C13" s="7" t="s">
        <v>37</v>
      </c>
      <c r="D13" s="33" t="s">
        <v>39</v>
      </c>
      <c r="E13" s="2"/>
      <c r="F13" s="2"/>
      <c r="G13" s="2"/>
    </row>
    <row r="14" spans="3:7" x14ac:dyDescent="0.25">
      <c r="C14" s="2"/>
      <c r="D14" s="2"/>
      <c r="E14" s="2"/>
      <c r="F14" s="2"/>
      <c r="G14" s="2"/>
    </row>
    <row r="15" spans="3:7" x14ac:dyDescent="0.25">
      <c r="C15" s="2"/>
      <c r="D15" s="2"/>
      <c r="E15" s="2"/>
      <c r="F15" s="2"/>
      <c r="G15" s="2"/>
    </row>
    <row r="16" spans="3:7" ht="15.75" thickBot="1" x14ac:dyDescent="0.3">
      <c r="C16" s="9" t="s">
        <v>20</v>
      </c>
      <c r="D16" s="2"/>
      <c r="E16" s="2"/>
      <c r="F16" s="2"/>
      <c r="G16" s="2"/>
    </row>
    <row r="17" spans="3:7" ht="15.75" thickBot="1" x14ac:dyDescent="0.3">
      <c r="C17" s="7" t="s">
        <v>17</v>
      </c>
      <c r="D17" s="33" t="s">
        <v>60</v>
      </c>
      <c r="E17" s="2"/>
      <c r="F17" s="2"/>
      <c r="G17" s="2"/>
    </row>
    <row r="18" spans="3:7" ht="15.75" thickBot="1" x14ac:dyDescent="0.3">
      <c r="C18" s="7" t="s">
        <v>18</v>
      </c>
      <c r="D18" s="34">
        <v>1312312</v>
      </c>
      <c r="E18" s="2"/>
      <c r="F18" s="2"/>
      <c r="G18" s="2"/>
    </row>
    <row r="19" spans="3:7" ht="15.75" thickBot="1" x14ac:dyDescent="0.3">
      <c r="C19" s="7" t="s">
        <v>37</v>
      </c>
      <c r="D19" s="33" t="s">
        <v>39</v>
      </c>
      <c r="E19" s="2"/>
      <c r="F19" s="2"/>
      <c r="G19" s="2"/>
    </row>
    <row r="20" spans="3:7" x14ac:dyDescent="0.25">
      <c r="C20" s="2"/>
      <c r="D20" s="2"/>
      <c r="E20" s="2"/>
      <c r="F20" s="2"/>
      <c r="G20" s="2"/>
    </row>
    <row r="21" spans="3:7" x14ac:dyDescent="0.25">
      <c r="C21" s="2"/>
      <c r="D21" s="2"/>
      <c r="E21" s="2"/>
      <c r="F21" s="2"/>
      <c r="G21" s="2"/>
    </row>
    <row r="22" spans="3:7" ht="15.75" thickBot="1" x14ac:dyDescent="0.3">
      <c r="C22" s="9" t="s">
        <v>19</v>
      </c>
      <c r="D22" s="2"/>
      <c r="E22" s="2"/>
      <c r="F22" s="2"/>
      <c r="G22" s="2"/>
    </row>
    <row r="23" spans="3:7" ht="15.75" thickBot="1" x14ac:dyDescent="0.3">
      <c r="C23" s="7" t="s">
        <v>17</v>
      </c>
      <c r="D23" s="33" t="s">
        <v>60</v>
      </c>
      <c r="E23" s="2"/>
      <c r="F23" s="2"/>
      <c r="G23" s="2"/>
    </row>
    <row r="24" spans="3:7" ht="15.75" thickBot="1" x14ac:dyDescent="0.3">
      <c r="C24" s="7" t="s">
        <v>18</v>
      </c>
      <c r="D24" s="34">
        <v>56565465</v>
      </c>
      <c r="E24" s="2"/>
      <c r="F24" s="2"/>
      <c r="G24" s="2"/>
    </row>
    <row r="25" spans="3:7" ht="15.75" thickBot="1" x14ac:dyDescent="0.3">
      <c r="C25" s="7" t="s">
        <v>37</v>
      </c>
      <c r="D25" s="33" t="s">
        <v>39</v>
      </c>
      <c r="E25" s="2"/>
      <c r="F25" s="2"/>
      <c r="G25" s="2"/>
    </row>
    <row r="26" spans="3:7" x14ac:dyDescent="0.25">
      <c r="C26" s="2"/>
      <c r="D26" s="2"/>
    </row>
    <row r="27" spans="3:7" x14ac:dyDescent="0.25">
      <c r="C27" s="2"/>
      <c r="D27" s="2"/>
    </row>
  </sheetData>
  <sheetProtection sheet="1" objects="1" scenarios="1" selectLockedCells="1"/>
  <mergeCells count="3">
    <mergeCell ref="C4:E4"/>
    <mergeCell ref="C3:D3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BD0E36-75F4-40F2-8EE3-BAF16887D6C8}">
          <x14:formula1>
            <xm:f>Bancos!$A$2:$A$51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B503-C6C8-4078-8EF3-1722D11E419D}">
  <dimension ref="A3:F49"/>
  <sheetViews>
    <sheetView showGridLines="0" showRowColHeaders="0" workbookViewId="0">
      <selection activeCell="D20" sqref="D20"/>
    </sheetView>
  </sheetViews>
  <sheetFormatPr defaultRowHeight="15" x14ac:dyDescent="0.25"/>
  <cols>
    <col min="1" max="1" width="30.42578125" style="1" customWidth="1"/>
    <col min="3" max="5" width="33.7109375" customWidth="1"/>
  </cols>
  <sheetData>
    <row r="3" spans="3:6" ht="20.25" x14ac:dyDescent="0.3">
      <c r="C3" s="40" t="s">
        <v>21</v>
      </c>
      <c r="D3" s="40"/>
      <c r="E3" s="40"/>
      <c r="F3" s="40"/>
    </row>
    <row r="4" spans="3:6" x14ac:dyDescent="0.25">
      <c r="C4" s="41" t="s">
        <v>22</v>
      </c>
      <c r="D4" s="41"/>
      <c r="E4" s="41"/>
      <c r="F4" s="41"/>
    </row>
    <row r="6" spans="3:6" ht="12.75" customHeight="1" x14ac:dyDescent="0.25"/>
    <row r="8" spans="3:6" ht="16.5" x14ac:dyDescent="0.25">
      <c r="C8" s="39" t="s">
        <v>23</v>
      </c>
      <c r="D8" s="39"/>
      <c r="E8" s="39"/>
    </row>
    <row r="9" spans="3:6" x14ac:dyDescent="0.25">
      <c r="C9" s="18" t="s">
        <v>24</v>
      </c>
      <c r="D9" s="18" t="s">
        <v>25</v>
      </c>
      <c r="E9" s="18" t="s">
        <v>26</v>
      </c>
    </row>
    <row r="10" spans="3:6" x14ac:dyDescent="0.25">
      <c r="C10" s="19">
        <v>46047</v>
      </c>
      <c r="D10" s="20" t="s">
        <v>40</v>
      </c>
      <c r="E10" s="21">
        <v>3000</v>
      </c>
    </row>
    <row r="11" spans="3:6" x14ac:dyDescent="0.25">
      <c r="C11" s="22">
        <v>46111</v>
      </c>
      <c r="D11" s="23" t="s">
        <v>100</v>
      </c>
      <c r="E11" s="24">
        <v>10000</v>
      </c>
    </row>
    <row r="12" spans="3:6" x14ac:dyDescent="0.25">
      <c r="C12" s="22"/>
      <c r="D12" s="23"/>
      <c r="E12" s="24"/>
    </row>
    <row r="13" spans="3:6" x14ac:dyDescent="0.25">
      <c r="C13" s="22"/>
      <c r="D13" s="23"/>
      <c r="E13" s="24"/>
    </row>
    <row r="14" spans="3:6" x14ac:dyDescent="0.25">
      <c r="C14" s="22"/>
      <c r="D14" s="23"/>
      <c r="E14" s="24"/>
    </row>
    <row r="15" spans="3:6" x14ac:dyDescent="0.25">
      <c r="C15" s="22"/>
      <c r="D15" s="23"/>
      <c r="E15" s="24"/>
    </row>
    <row r="16" spans="3:6" x14ac:dyDescent="0.25">
      <c r="C16" s="22"/>
      <c r="D16" s="23"/>
      <c r="E16" s="24"/>
    </row>
    <row r="17" spans="3:5" x14ac:dyDescent="0.25">
      <c r="C17" s="22"/>
      <c r="D17" s="23"/>
      <c r="E17" s="24"/>
    </row>
    <row r="18" spans="3:5" x14ac:dyDescent="0.25">
      <c r="C18" s="22"/>
      <c r="D18" s="23"/>
      <c r="E18" s="24"/>
    </row>
    <row r="19" spans="3:5" x14ac:dyDescent="0.25">
      <c r="C19" s="22"/>
      <c r="D19" s="23"/>
      <c r="E19" s="24"/>
    </row>
    <row r="20" spans="3:5" x14ac:dyDescent="0.25">
      <c r="C20" s="22"/>
      <c r="D20" s="23"/>
      <c r="E20" s="24"/>
    </row>
    <row r="21" spans="3:5" x14ac:dyDescent="0.25">
      <c r="C21" s="22"/>
      <c r="D21" s="23"/>
      <c r="E21" s="24"/>
    </row>
    <row r="22" spans="3:5" x14ac:dyDescent="0.25">
      <c r="C22" s="22"/>
      <c r="D22" s="23"/>
      <c r="E22" s="24"/>
    </row>
    <row r="23" spans="3:5" x14ac:dyDescent="0.25">
      <c r="C23" s="22"/>
      <c r="D23" s="23"/>
      <c r="E23" s="24"/>
    </row>
    <row r="24" spans="3:5" x14ac:dyDescent="0.25">
      <c r="C24" s="22"/>
      <c r="D24" s="23"/>
      <c r="E24" s="24"/>
    </row>
    <row r="25" spans="3:5" x14ac:dyDescent="0.25">
      <c r="C25" s="22"/>
      <c r="D25" s="23"/>
      <c r="E25" s="24"/>
    </row>
    <row r="26" spans="3:5" x14ac:dyDescent="0.25">
      <c r="C26" s="22"/>
      <c r="D26" s="23"/>
      <c r="E26" s="24"/>
    </row>
    <row r="27" spans="3:5" x14ac:dyDescent="0.25">
      <c r="C27" s="22"/>
      <c r="D27" s="23"/>
      <c r="E27" s="24"/>
    </row>
    <row r="28" spans="3:5" x14ac:dyDescent="0.25">
      <c r="C28" s="22"/>
      <c r="D28" s="23"/>
      <c r="E28" s="24"/>
    </row>
    <row r="29" spans="3:5" x14ac:dyDescent="0.25">
      <c r="C29" s="22"/>
      <c r="D29" s="23"/>
      <c r="E29" s="24"/>
    </row>
    <row r="30" spans="3:5" x14ac:dyDescent="0.25">
      <c r="C30" s="22"/>
      <c r="D30" s="23"/>
      <c r="E30" s="24"/>
    </row>
    <row r="31" spans="3:5" x14ac:dyDescent="0.25">
      <c r="C31" s="22"/>
      <c r="D31" s="23"/>
      <c r="E31" s="24"/>
    </row>
    <row r="32" spans="3:5" x14ac:dyDescent="0.25">
      <c r="C32" s="22"/>
      <c r="D32" s="23"/>
      <c r="E32" s="24"/>
    </row>
    <row r="33" spans="3:5" x14ac:dyDescent="0.25">
      <c r="C33" s="22"/>
      <c r="D33" s="23"/>
      <c r="E33" s="24"/>
    </row>
    <row r="34" spans="3:5" x14ac:dyDescent="0.25">
      <c r="C34" s="22"/>
      <c r="D34" s="23"/>
      <c r="E34" s="24"/>
    </row>
    <row r="35" spans="3:5" x14ac:dyDescent="0.25">
      <c r="C35" s="22"/>
      <c r="D35" s="23"/>
      <c r="E35" s="24"/>
    </row>
    <row r="36" spans="3:5" x14ac:dyDescent="0.25">
      <c r="C36" s="22"/>
      <c r="D36" s="23"/>
      <c r="E36" s="24"/>
    </row>
    <row r="37" spans="3:5" x14ac:dyDescent="0.25">
      <c r="C37" s="22"/>
      <c r="D37" s="23"/>
      <c r="E37" s="24"/>
    </row>
    <row r="38" spans="3:5" x14ac:dyDescent="0.25">
      <c r="C38" s="22"/>
      <c r="D38" s="23"/>
      <c r="E38" s="24"/>
    </row>
    <row r="39" spans="3:5" x14ac:dyDescent="0.25">
      <c r="C39" s="22"/>
      <c r="D39" s="23"/>
      <c r="E39" s="24"/>
    </row>
    <row r="40" spans="3:5" x14ac:dyDescent="0.25">
      <c r="C40" s="22"/>
      <c r="D40" s="23"/>
      <c r="E40" s="24"/>
    </row>
    <row r="41" spans="3:5" x14ac:dyDescent="0.25">
      <c r="C41" s="22"/>
      <c r="D41" s="23"/>
      <c r="E41" s="24"/>
    </row>
    <row r="42" spans="3:5" x14ac:dyDescent="0.25">
      <c r="C42" s="22"/>
      <c r="D42" s="23"/>
      <c r="E42" s="24"/>
    </row>
    <row r="43" spans="3:5" x14ac:dyDescent="0.25">
      <c r="C43" s="22"/>
      <c r="D43" s="23"/>
      <c r="E43" s="24"/>
    </row>
    <row r="44" spans="3:5" x14ac:dyDescent="0.25">
      <c r="C44" s="22"/>
      <c r="D44" s="23"/>
      <c r="E44" s="24"/>
    </row>
    <row r="45" spans="3:5" x14ac:dyDescent="0.25">
      <c r="C45" s="22"/>
      <c r="D45" s="23"/>
      <c r="E45" s="24"/>
    </row>
    <row r="46" spans="3:5" x14ac:dyDescent="0.25">
      <c r="C46" s="22"/>
      <c r="D46" s="23"/>
      <c r="E46" s="24"/>
    </row>
    <row r="47" spans="3:5" x14ac:dyDescent="0.25">
      <c r="C47" s="22"/>
      <c r="D47" s="23"/>
      <c r="E47" s="24"/>
    </row>
    <row r="48" spans="3:5" x14ac:dyDescent="0.25">
      <c r="C48" s="22"/>
      <c r="D48" s="23"/>
      <c r="E48" s="24"/>
    </row>
    <row r="49" spans="3:5" x14ac:dyDescent="0.25">
      <c r="C49" s="22"/>
      <c r="D49" s="23"/>
      <c r="E49" s="24"/>
    </row>
  </sheetData>
  <sheetProtection sheet="1" objects="1" scenarios="1" selectLockedCells="1"/>
  <mergeCells count="3">
    <mergeCell ref="C8:E8"/>
    <mergeCell ref="C3:F3"/>
    <mergeCell ref="C4:F4"/>
  </mergeCells>
  <phoneticPr fontId="9" type="noConversion"/>
  <dataValidations count="1">
    <dataValidation type="list" allowBlank="1" showInputMessage="1" showErrorMessage="1" sqref="D10 D11:D49" xr:uid="{648A729B-EC36-4C71-A09D-33D297CD46B7}">
      <formula1>"CNPJ,FREELANCE,HOLERITE"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9E18-1640-4BAC-9E2D-FE0711A994EB}">
  <dimension ref="A3:F49"/>
  <sheetViews>
    <sheetView showGridLines="0" showRowColHeaders="0" workbookViewId="0">
      <selection activeCell="C17" sqref="C17"/>
    </sheetView>
  </sheetViews>
  <sheetFormatPr defaultRowHeight="15" x14ac:dyDescent="0.25"/>
  <cols>
    <col min="1" max="1" width="30.42578125" style="1" customWidth="1"/>
    <col min="3" max="5" width="33.7109375" customWidth="1"/>
  </cols>
  <sheetData>
    <row r="3" spans="3:6" ht="20.25" x14ac:dyDescent="0.3">
      <c r="C3" s="40" t="s">
        <v>92</v>
      </c>
      <c r="D3" s="40"/>
      <c r="E3" s="40"/>
      <c r="F3" s="40"/>
    </row>
    <row r="4" spans="3:6" x14ac:dyDescent="0.25">
      <c r="C4" s="41" t="s">
        <v>91</v>
      </c>
      <c r="D4" s="41"/>
      <c r="E4" s="41"/>
      <c r="F4" s="41"/>
    </row>
    <row r="6" spans="3:6" ht="12.75" customHeight="1" x14ac:dyDescent="0.25"/>
    <row r="8" spans="3:6" ht="16.5" x14ac:dyDescent="0.25">
      <c r="C8" s="39" t="s">
        <v>111</v>
      </c>
      <c r="D8" s="39"/>
      <c r="E8" s="39"/>
    </row>
    <row r="9" spans="3:6" x14ac:dyDescent="0.25">
      <c r="C9" s="8" t="s">
        <v>24</v>
      </c>
      <c r="D9" s="8" t="s">
        <v>25</v>
      </c>
      <c r="E9" s="8" t="s">
        <v>26</v>
      </c>
    </row>
    <row r="10" spans="3:6" x14ac:dyDescent="0.25">
      <c r="C10" s="26">
        <v>46047</v>
      </c>
      <c r="D10" s="27" t="s">
        <v>102</v>
      </c>
      <c r="E10" s="28">
        <v>2500</v>
      </c>
    </row>
    <row r="11" spans="3:6" x14ac:dyDescent="0.25">
      <c r="C11" s="26">
        <v>46063</v>
      </c>
      <c r="D11" s="27" t="s">
        <v>103</v>
      </c>
      <c r="E11" s="28">
        <v>1500</v>
      </c>
    </row>
    <row r="12" spans="3:6" x14ac:dyDescent="0.25">
      <c r="C12" s="26">
        <v>46068</v>
      </c>
      <c r="D12" s="27" t="s">
        <v>102</v>
      </c>
      <c r="E12" s="28">
        <v>2000</v>
      </c>
    </row>
    <row r="13" spans="3:6" x14ac:dyDescent="0.25">
      <c r="C13" s="26"/>
      <c r="D13" s="27"/>
      <c r="E13" s="28"/>
    </row>
    <row r="14" spans="3:6" x14ac:dyDescent="0.25">
      <c r="C14" s="26"/>
      <c r="D14" s="27"/>
      <c r="E14" s="28"/>
    </row>
    <row r="15" spans="3:6" x14ac:dyDescent="0.25">
      <c r="C15" s="26"/>
      <c r="D15" s="27"/>
      <c r="E15" s="28"/>
    </row>
    <row r="16" spans="3:6" x14ac:dyDescent="0.25">
      <c r="C16" s="26"/>
      <c r="D16" s="27"/>
      <c r="E16" s="28"/>
    </row>
    <row r="17" spans="3:5" x14ac:dyDescent="0.25">
      <c r="C17" s="26"/>
      <c r="D17" s="27"/>
      <c r="E17" s="28"/>
    </row>
    <row r="18" spans="3:5" x14ac:dyDescent="0.25">
      <c r="C18" s="26"/>
      <c r="D18" s="27"/>
      <c r="E18" s="28"/>
    </row>
    <row r="19" spans="3:5" x14ac:dyDescent="0.25">
      <c r="C19" s="26"/>
      <c r="D19" s="27"/>
      <c r="E19" s="28"/>
    </row>
    <row r="20" spans="3:5" x14ac:dyDescent="0.25">
      <c r="C20" s="26"/>
      <c r="D20" s="27"/>
      <c r="E20" s="28"/>
    </row>
    <row r="21" spans="3:5" x14ac:dyDescent="0.25">
      <c r="C21" s="26"/>
      <c r="D21" s="27"/>
      <c r="E21" s="28"/>
    </row>
    <row r="22" spans="3:5" x14ac:dyDescent="0.25">
      <c r="C22" s="26"/>
      <c r="D22" s="27"/>
      <c r="E22" s="28"/>
    </row>
    <row r="23" spans="3:5" x14ac:dyDescent="0.25">
      <c r="C23" s="26"/>
      <c r="D23" s="27"/>
      <c r="E23" s="28"/>
    </row>
    <row r="24" spans="3:5" x14ac:dyDescent="0.25">
      <c r="C24" s="26"/>
      <c r="D24" s="27"/>
      <c r="E24" s="28"/>
    </row>
    <row r="25" spans="3:5" x14ac:dyDescent="0.25">
      <c r="C25" s="26"/>
      <c r="D25" s="27"/>
      <c r="E25" s="28"/>
    </row>
    <row r="26" spans="3:5" x14ac:dyDescent="0.25">
      <c r="C26" s="26"/>
      <c r="D26" s="27"/>
      <c r="E26" s="28"/>
    </row>
    <row r="27" spans="3:5" x14ac:dyDescent="0.25">
      <c r="C27" s="26"/>
      <c r="D27" s="27"/>
      <c r="E27" s="28"/>
    </row>
    <row r="28" spans="3:5" x14ac:dyDescent="0.25">
      <c r="C28" s="26"/>
      <c r="D28" s="27"/>
      <c r="E28" s="28"/>
    </row>
    <row r="29" spans="3:5" x14ac:dyDescent="0.25">
      <c r="C29" s="26"/>
      <c r="D29" s="27"/>
      <c r="E29" s="28"/>
    </row>
    <row r="30" spans="3:5" x14ac:dyDescent="0.25">
      <c r="C30" s="26"/>
      <c r="D30" s="27"/>
      <c r="E30" s="28"/>
    </row>
    <row r="31" spans="3:5" x14ac:dyDescent="0.25">
      <c r="C31" s="26"/>
      <c r="D31" s="27"/>
      <c r="E31" s="28"/>
    </row>
    <row r="32" spans="3:5" x14ac:dyDescent="0.25">
      <c r="C32" s="26"/>
      <c r="D32" s="27"/>
      <c r="E32" s="28"/>
    </row>
    <row r="33" spans="3:5" x14ac:dyDescent="0.25">
      <c r="C33" s="26"/>
      <c r="D33" s="27"/>
      <c r="E33" s="28"/>
    </row>
    <row r="34" spans="3:5" x14ac:dyDescent="0.25">
      <c r="C34" s="26"/>
      <c r="D34" s="27"/>
      <c r="E34" s="28"/>
    </row>
    <row r="35" spans="3:5" x14ac:dyDescent="0.25">
      <c r="C35" s="26"/>
      <c r="D35" s="27"/>
      <c r="E35" s="28"/>
    </row>
    <row r="36" spans="3:5" x14ac:dyDescent="0.25">
      <c r="C36" s="26"/>
      <c r="D36" s="27"/>
      <c r="E36" s="28"/>
    </row>
    <row r="37" spans="3:5" x14ac:dyDescent="0.25">
      <c r="C37" s="26"/>
      <c r="D37" s="27"/>
      <c r="E37" s="28"/>
    </row>
    <row r="38" spans="3:5" x14ac:dyDescent="0.25">
      <c r="C38" s="26"/>
      <c r="D38" s="27"/>
      <c r="E38" s="28"/>
    </row>
    <row r="39" spans="3:5" x14ac:dyDescent="0.25">
      <c r="C39" s="26"/>
      <c r="D39" s="27"/>
      <c r="E39" s="28"/>
    </row>
    <row r="40" spans="3:5" x14ac:dyDescent="0.25">
      <c r="C40" s="26"/>
      <c r="D40" s="27"/>
      <c r="E40" s="28"/>
    </row>
    <row r="41" spans="3:5" x14ac:dyDescent="0.25">
      <c r="C41" s="26"/>
      <c r="D41" s="27"/>
      <c r="E41" s="28"/>
    </row>
    <row r="42" spans="3:5" x14ac:dyDescent="0.25">
      <c r="C42" s="26"/>
      <c r="D42" s="27"/>
      <c r="E42" s="28"/>
    </row>
    <row r="43" spans="3:5" x14ac:dyDescent="0.25">
      <c r="C43" s="26"/>
      <c r="D43" s="27"/>
      <c r="E43" s="28"/>
    </row>
    <row r="44" spans="3:5" x14ac:dyDescent="0.25">
      <c r="C44" s="26"/>
      <c r="D44" s="27"/>
      <c r="E44" s="28"/>
    </row>
    <row r="45" spans="3:5" x14ac:dyDescent="0.25">
      <c r="C45" s="26"/>
      <c r="D45" s="27"/>
      <c r="E45" s="28"/>
    </row>
    <row r="46" spans="3:5" x14ac:dyDescent="0.25">
      <c r="C46" s="26"/>
      <c r="D46" s="27"/>
      <c r="E46" s="28"/>
    </row>
    <row r="47" spans="3:5" x14ac:dyDescent="0.25">
      <c r="C47" s="26"/>
      <c r="D47" s="27"/>
      <c r="E47" s="28"/>
    </row>
    <row r="48" spans="3:5" x14ac:dyDescent="0.25">
      <c r="C48" s="26"/>
      <c r="D48" s="27"/>
      <c r="E48" s="28"/>
    </row>
    <row r="49" spans="3:5" x14ac:dyDescent="0.25">
      <c r="C49" s="26"/>
      <c r="D49" s="27"/>
      <c r="E49" s="28"/>
    </row>
  </sheetData>
  <sheetProtection sheet="1" objects="1" scenarios="1" selectLockedCells="1"/>
  <mergeCells count="3">
    <mergeCell ref="C3:F3"/>
    <mergeCell ref="C4:F4"/>
    <mergeCell ref="C8:E8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0D1BF7-D0F5-4574-85DD-75EC4D472842}">
          <x14:formula1>
            <xm:f>DESP_DEDUTIVEIS!$C$5:$C$11</xm:f>
          </x14:formula1>
          <xm:sqref>D10:D49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1DED-6C2A-42A9-A4DE-9B5FC1D1DEF3}">
  <dimension ref="A1:A51"/>
  <sheetViews>
    <sheetView topLeftCell="A33" workbookViewId="0">
      <selection activeCell="C41" sqref="C41"/>
    </sheetView>
  </sheetViews>
  <sheetFormatPr defaultRowHeight="15" x14ac:dyDescent="0.25"/>
  <cols>
    <col min="1" max="1" width="40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53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38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73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0" spans="1:1" x14ac:dyDescent="0.25">
      <c r="A40" t="s">
        <v>79</v>
      </c>
    </row>
    <row r="41" spans="1:1" x14ac:dyDescent="0.25">
      <c r="A41" t="s">
        <v>80</v>
      </c>
    </row>
    <row r="42" spans="1:1" x14ac:dyDescent="0.25">
      <c r="A42" t="s">
        <v>81</v>
      </c>
    </row>
    <row r="43" spans="1:1" x14ac:dyDescent="0.25">
      <c r="A43" t="s">
        <v>82</v>
      </c>
    </row>
    <row r="44" spans="1:1" x14ac:dyDescent="0.25">
      <c r="A44" t="s">
        <v>83</v>
      </c>
    </row>
    <row r="45" spans="1:1" x14ac:dyDescent="0.25">
      <c r="A45" t="s">
        <v>84</v>
      </c>
    </row>
    <row r="46" spans="1:1" x14ac:dyDescent="0.25">
      <c r="A46" t="s">
        <v>85</v>
      </c>
    </row>
    <row r="47" spans="1:1" x14ac:dyDescent="0.25">
      <c r="A47" t="s">
        <v>86</v>
      </c>
    </row>
    <row r="48" spans="1:1" x14ac:dyDescent="0.25">
      <c r="A48" t="s">
        <v>87</v>
      </c>
    </row>
    <row r="49" spans="1:1" x14ac:dyDescent="0.25">
      <c r="A49" t="s">
        <v>88</v>
      </c>
    </row>
    <row r="50" spans="1:1" x14ac:dyDescent="0.25">
      <c r="A50" t="s">
        <v>89</v>
      </c>
    </row>
    <row r="51" spans="1:1" x14ac:dyDescent="0.25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134C-83EF-4D6E-A1EE-DFCF7CDC310C}">
  <dimension ref="A2:D11"/>
  <sheetViews>
    <sheetView showGridLines="0" zoomScaleNormal="100" workbookViewId="0">
      <selection activeCell="C11" sqref="C11"/>
    </sheetView>
  </sheetViews>
  <sheetFormatPr defaultRowHeight="15" x14ac:dyDescent="0.25"/>
  <cols>
    <col min="1" max="1" width="30.42578125" style="1" customWidth="1"/>
    <col min="2" max="2" width="9.140625" customWidth="1"/>
    <col min="3" max="3" width="27.7109375" bestFit="1" customWidth="1"/>
    <col min="4" max="4" width="52.28515625" customWidth="1"/>
  </cols>
  <sheetData>
    <row r="2" spans="1:4" ht="22.5" customHeight="1" x14ac:dyDescent="0.25"/>
    <row r="3" spans="1:4" s="25" customFormat="1" x14ac:dyDescent="0.25">
      <c r="A3" s="1"/>
      <c r="C3" s="42" t="s">
        <v>110</v>
      </c>
      <c r="D3" s="42"/>
    </row>
    <row r="4" spans="1:4" ht="15.75" thickBot="1" x14ac:dyDescent="0.3">
      <c r="C4" s="43" t="s">
        <v>93</v>
      </c>
      <c r="D4" s="44" t="s">
        <v>94</v>
      </c>
    </row>
    <row r="5" spans="1:4" ht="29.25" thickBot="1" x14ac:dyDescent="0.3">
      <c r="C5" s="29" t="s">
        <v>101</v>
      </c>
      <c r="D5" s="30" t="s">
        <v>95</v>
      </c>
    </row>
    <row r="6" spans="1:4" ht="43.5" thickBot="1" x14ac:dyDescent="0.3">
      <c r="C6" s="29" t="s">
        <v>107</v>
      </c>
      <c r="D6" s="30" t="s">
        <v>99</v>
      </c>
    </row>
    <row r="7" spans="1:4" ht="43.5" thickBot="1" x14ac:dyDescent="0.3">
      <c r="C7" s="29" t="s">
        <v>103</v>
      </c>
      <c r="D7" s="30" t="s">
        <v>97</v>
      </c>
    </row>
    <row r="8" spans="1:4" ht="29.25" thickBot="1" x14ac:dyDescent="0.3">
      <c r="C8" s="29" t="s">
        <v>106</v>
      </c>
      <c r="D8" s="30" t="s">
        <v>109</v>
      </c>
    </row>
    <row r="9" spans="1:4" ht="29.25" thickBot="1" x14ac:dyDescent="0.3">
      <c r="C9" s="29" t="s">
        <v>105</v>
      </c>
      <c r="D9" s="30" t="s">
        <v>98</v>
      </c>
    </row>
    <row r="10" spans="1:4" ht="30" thickBot="1" x14ac:dyDescent="0.3">
      <c r="C10" s="29" t="s">
        <v>104</v>
      </c>
      <c r="D10" s="30" t="s">
        <v>108</v>
      </c>
    </row>
    <row r="11" spans="1:4" ht="57" x14ac:dyDescent="0.25">
      <c r="C11" s="31" t="s">
        <v>102</v>
      </c>
      <c r="D11" s="32" t="s">
        <v>96</v>
      </c>
    </row>
  </sheetData>
  <sheetProtection sheet="1" objects="1" scenarios="1" selectLockedCells="1"/>
  <mergeCells count="1">
    <mergeCell ref="C3:D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NOTAS</vt:lpstr>
      <vt:lpstr>DESPESAS</vt:lpstr>
      <vt:lpstr>Bancos</vt:lpstr>
      <vt:lpstr>DESP_DEDUTIVEIS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Martins da Silva</dc:creator>
  <cp:lastModifiedBy>Gilberto Martins da Silva</cp:lastModifiedBy>
  <dcterms:created xsi:type="dcterms:W3CDTF">2026-10-14T15:18:14Z</dcterms:created>
  <dcterms:modified xsi:type="dcterms:W3CDTF">2026-10-15T02:13:31Z</dcterms:modified>
</cp:coreProperties>
</file>